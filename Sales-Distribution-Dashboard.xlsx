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hidePivotFieldList="1" defaultThemeVersion="166925"/>
  <mc:AlternateContent xmlns:mc="http://schemas.openxmlformats.org/markup-compatibility/2006">
    <mc:Choice Requires="x15">
      <x15ac:absPath xmlns:x15ac="http://schemas.microsoft.com/office/spreadsheetml/2010/11/ac" url="E:\Portfolio\Excel\Project 18\"/>
    </mc:Choice>
  </mc:AlternateContent>
  <xr:revisionPtr revIDLastSave="0" documentId="8_{99A86D80-C7CD-42E3-BC0C-03CCB770D97A}" xr6:coauthVersionLast="47" xr6:coauthVersionMax="47" xr10:uidLastSave="{00000000-0000-0000-0000-000000000000}"/>
  <bookViews>
    <workbookView xWindow="-120" yWindow="-120" windowWidth="20730" windowHeight="11040" firstSheet="1" activeTab="4" xr2:uid="{0A0D8D68-EFC2-4074-BDCA-85DAF874A3F1}"/>
  </bookViews>
  <sheets>
    <sheet name="Input Data" sheetId="2" r:id="rId1"/>
    <sheet name="Target" sheetId="8" r:id="rId2"/>
    <sheet name="Customer" sheetId="6" r:id="rId3"/>
    <sheet name="Analysis Sheet" sheetId="9" r:id="rId4"/>
    <sheet name="Dashboard" sheetId="11" r:id="rId5"/>
  </sheets>
  <definedNames>
    <definedName name="_xlnm._FilterDatabase" localSheetId="2" hidden="1">Customer!$A$1:$B$41</definedName>
    <definedName name="_xlchart.v5.0" hidden="1">'Analysis Sheet'!$U$2</definedName>
    <definedName name="_xlchart.v5.1" hidden="1">'Analysis Sheet'!$U$3:$U$17</definedName>
    <definedName name="_xlchart.v5.2" hidden="1">'Analysis Sheet'!$V$2</definedName>
    <definedName name="_xlchart.v5.3" hidden="1">'Analysis Sheet'!$V$3:$V$17</definedName>
    <definedName name="_xlchart.v5.4" hidden="1">'Analysis Sheet'!$U$2</definedName>
    <definedName name="_xlchart.v5.5" hidden="1">'Analysis Sheet'!$U$3:$U$17</definedName>
    <definedName name="_xlchart.v5.6" hidden="1">'Analysis Sheet'!$V$2</definedName>
    <definedName name="_xlchart.v5.7" hidden="1">'Analysis Sheet'!$V$3:$V$17</definedName>
    <definedName name="_xlcn.WorksheetConnection_Sheet1B2C181" hidden="1">Customer!$D$2:$E$16</definedName>
    <definedName name="Slicer_Month">#N/A</definedName>
    <definedName name="Slicer_Region">#N/A</definedName>
  </definedNames>
  <calcPr calcId="191029"/>
  <pivotCaches>
    <pivotCache cacheId="0" r:id="rId6"/>
  </pivotCaches>
  <fileRecoveryPr repairLoad="1"/>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V17" i="9" l="1"/>
  <c r="U17" i="9"/>
  <c r="V16" i="9"/>
  <c r="U16" i="9"/>
  <c r="V15" i="9"/>
  <c r="U15" i="9"/>
  <c r="V14" i="9"/>
  <c r="U14" i="9"/>
  <c r="V13" i="9"/>
  <c r="U13" i="9"/>
  <c r="V12" i="9"/>
  <c r="U12" i="9"/>
  <c r="V11" i="9"/>
  <c r="U11" i="9"/>
  <c r="V10" i="9"/>
  <c r="U10" i="9"/>
  <c r="I10" i="9"/>
  <c r="J10" i="9" s="1"/>
  <c r="V9" i="9"/>
  <c r="U9" i="9"/>
  <c r="I9" i="9"/>
  <c r="J9" i="9" s="1"/>
  <c r="V8" i="9"/>
  <c r="U8" i="9"/>
  <c r="I8" i="9"/>
  <c r="J8" i="9" s="1"/>
  <c r="V7" i="9"/>
  <c r="U7" i="9"/>
  <c r="V6" i="9"/>
  <c r="U6" i="9"/>
  <c r="V5" i="9"/>
  <c r="U5" i="9"/>
  <c r="V4" i="9"/>
  <c r="U4" i="9"/>
  <c r="V3" i="9"/>
  <c r="U3" i="9"/>
  <c r="D13" i="8"/>
  <c r="D12" i="8"/>
  <c r="D11" i="8"/>
  <c r="D10" i="8"/>
  <c r="D9" i="8"/>
  <c r="D8" i="8"/>
  <c r="D7" i="8"/>
  <c r="D6" i="8"/>
  <c r="D5" i="8"/>
  <c r="D4" i="8"/>
  <c r="D3" i="8"/>
  <c r="D2" i="8"/>
  <c r="J833" i="2"/>
  <c r="I833" i="2"/>
  <c r="H833" i="2"/>
  <c r="G833" i="2"/>
  <c r="F833" i="2"/>
  <c r="J832" i="2"/>
  <c r="I832" i="2"/>
  <c r="H832" i="2"/>
  <c r="G832" i="2"/>
  <c r="F832" i="2"/>
  <c r="J831" i="2"/>
  <c r="I831" i="2"/>
  <c r="H831" i="2"/>
  <c r="G831" i="2"/>
  <c r="F831" i="2"/>
  <c r="J830" i="2"/>
  <c r="I830" i="2"/>
  <c r="H830" i="2"/>
  <c r="G830" i="2"/>
  <c r="F830" i="2"/>
  <c r="J829" i="2"/>
  <c r="I829" i="2"/>
  <c r="H829" i="2"/>
  <c r="G829" i="2"/>
  <c r="F829" i="2"/>
  <c r="J828" i="2"/>
  <c r="I828" i="2"/>
  <c r="H828" i="2"/>
  <c r="G828" i="2"/>
  <c r="F828" i="2"/>
  <c r="J827" i="2"/>
  <c r="I827" i="2"/>
  <c r="H827" i="2"/>
  <c r="G827" i="2"/>
  <c r="F827" i="2"/>
  <c r="J826" i="2"/>
  <c r="I826" i="2"/>
  <c r="H826" i="2"/>
  <c r="G826" i="2"/>
  <c r="F826" i="2"/>
  <c r="J825" i="2"/>
  <c r="I825" i="2"/>
  <c r="H825" i="2"/>
  <c r="G825" i="2"/>
  <c r="F825" i="2"/>
  <c r="J824" i="2"/>
  <c r="I824" i="2"/>
  <c r="H824" i="2"/>
  <c r="G824" i="2"/>
  <c r="F824" i="2"/>
  <c r="J823" i="2"/>
  <c r="I823" i="2"/>
  <c r="H823" i="2"/>
  <c r="G823" i="2"/>
  <c r="F823" i="2"/>
  <c r="J822" i="2"/>
  <c r="I822" i="2"/>
  <c r="H822" i="2"/>
  <c r="G822" i="2"/>
  <c r="F822" i="2"/>
  <c r="J821" i="2"/>
  <c r="I821" i="2"/>
  <c r="H821" i="2"/>
  <c r="G821" i="2"/>
  <c r="F821" i="2"/>
  <c r="J820" i="2"/>
  <c r="I820" i="2"/>
  <c r="H820" i="2"/>
  <c r="G820" i="2"/>
  <c r="F820" i="2"/>
  <c r="J819" i="2"/>
  <c r="I819" i="2"/>
  <c r="H819" i="2"/>
  <c r="G819" i="2"/>
  <c r="F819" i="2"/>
  <c r="J818" i="2"/>
  <c r="I818" i="2"/>
  <c r="H818" i="2"/>
  <c r="G818" i="2"/>
  <c r="F818" i="2"/>
  <c r="J817" i="2"/>
  <c r="I817" i="2"/>
  <c r="H817" i="2"/>
  <c r="G817" i="2"/>
  <c r="F817" i="2"/>
  <c r="J816" i="2"/>
  <c r="I816" i="2"/>
  <c r="H816" i="2"/>
  <c r="G816" i="2"/>
  <c r="F816" i="2"/>
  <c r="J815" i="2"/>
  <c r="I815" i="2"/>
  <c r="H815" i="2"/>
  <c r="G815" i="2"/>
  <c r="F815" i="2"/>
  <c r="J814" i="2"/>
  <c r="I814" i="2"/>
  <c r="H814" i="2"/>
  <c r="G814" i="2"/>
  <c r="F814" i="2"/>
  <c r="J813" i="2"/>
  <c r="I813" i="2"/>
  <c r="H813" i="2"/>
  <c r="G813" i="2"/>
  <c r="F813" i="2"/>
  <c r="J812" i="2"/>
  <c r="I812" i="2"/>
  <c r="H812" i="2"/>
  <c r="G812" i="2"/>
  <c r="F812" i="2"/>
  <c r="J811" i="2"/>
  <c r="I811" i="2"/>
  <c r="H811" i="2"/>
  <c r="G811" i="2"/>
  <c r="F811" i="2"/>
  <c r="J810" i="2"/>
  <c r="I810" i="2"/>
  <c r="H810" i="2"/>
  <c r="G810" i="2"/>
  <c r="F810" i="2"/>
  <c r="J809" i="2"/>
  <c r="I809" i="2"/>
  <c r="H809" i="2"/>
  <c r="G809" i="2"/>
  <c r="F809" i="2"/>
  <c r="J808" i="2"/>
  <c r="I808" i="2"/>
  <c r="H808" i="2"/>
  <c r="G808" i="2"/>
  <c r="F808" i="2"/>
  <c r="J807" i="2"/>
  <c r="I807" i="2"/>
  <c r="H807" i="2"/>
  <c r="G807" i="2"/>
  <c r="F807" i="2"/>
  <c r="J806" i="2"/>
  <c r="I806" i="2"/>
  <c r="H806" i="2"/>
  <c r="G806" i="2"/>
  <c r="F806" i="2"/>
  <c r="J805" i="2"/>
  <c r="I805" i="2"/>
  <c r="H805" i="2"/>
  <c r="G805" i="2"/>
  <c r="F805" i="2"/>
  <c r="J804" i="2"/>
  <c r="I804" i="2"/>
  <c r="H804" i="2"/>
  <c r="G804" i="2"/>
  <c r="F804" i="2"/>
  <c r="J803" i="2"/>
  <c r="I803" i="2"/>
  <c r="H803" i="2"/>
  <c r="G803" i="2"/>
  <c r="F803" i="2"/>
  <c r="J802" i="2"/>
  <c r="I802" i="2"/>
  <c r="H802" i="2"/>
  <c r="G802" i="2"/>
  <c r="F802" i="2"/>
  <c r="J801" i="2"/>
  <c r="I801" i="2"/>
  <c r="H801" i="2"/>
  <c r="G801" i="2"/>
  <c r="F801" i="2"/>
  <c r="J800" i="2"/>
  <c r="I800" i="2"/>
  <c r="H800" i="2"/>
  <c r="G800" i="2"/>
  <c r="F800" i="2"/>
  <c r="J799" i="2"/>
  <c r="I799" i="2"/>
  <c r="H799" i="2"/>
  <c r="G799" i="2"/>
  <c r="F799" i="2"/>
  <c r="J798" i="2"/>
  <c r="I798" i="2"/>
  <c r="H798" i="2"/>
  <c r="G798" i="2"/>
  <c r="F798" i="2"/>
  <c r="J797" i="2"/>
  <c r="I797" i="2"/>
  <c r="H797" i="2"/>
  <c r="G797" i="2"/>
  <c r="F797" i="2"/>
  <c r="J796" i="2"/>
  <c r="I796" i="2"/>
  <c r="H796" i="2"/>
  <c r="G796" i="2"/>
  <c r="F796" i="2"/>
  <c r="J795" i="2"/>
  <c r="I795" i="2"/>
  <c r="H795" i="2"/>
  <c r="G795" i="2"/>
  <c r="F795" i="2"/>
  <c r="J794" i="2"/>
  <c r="I794" i="2"/>
  <c r="H794" i="2"/>
  <c r="G794" i="2"/>
  <c r="F794" i="2"/>
  <c r="J793" i="2"/>
  <c r="I793" i="2"/>
  <c r="H793" i="2"/>
  <c r="G793" i="2"/>
  <c r="F793" i="2"/>
  <c r="J792" i="2"/>
  <c r="I792" i="2"/>
  <c r="H792" i="2"/>
  <c r="G792" i="2"/>
  <c r="F792" i="2"/>
  <c r="J791" i="2"/>
  <c r="I791" i="2"/>
  <c r="H791" i="2"/>
  <c r="G791" i="2"/>
  <c r="F791" i="2"/>
  <c r="J790" i="2"/>
  <c r="I790" i="2"/>
  <c r="H790" i="2"/>
  <c r="G790" i="2"/>
  <c r="F790" i="2"/>
  <c r="J789" i="2"/>
  <c r="I789" i="2"/>
  <c r="H789" i="2"/>
  <c r="G789" i="2"/>
  <c r="F789" i="2"/>
  <c r="J788" i="2"/>
  <c r="I788" i="2"/>
  <c r="H788" i="2"/>
  <c r="G788" i="2"/>
  <c r="F788" i="2"/>
  <c r="J787" i="2"/>
  <c r="I787" i="2"/>
  <c r="H787" i="2"/>
  <c r="G787" i="2"/>
  <c r="F787" i="2"/>
  <c r="J786" i="2"/>
  <c r="I786" i="2"/>
  <c r="H786" i="2"/>
  <c r="G786" i="2"/>
  <c r="F786" i="2"/>
  <c r="J785" i="2"/>
  <c r="I785" i="2"/>
  <c r="H785" i="2"/>
  <c r="G785" i="2"/>
  <c r="F785" i="2"/>
  <c r="J784" i="2"/>
  <c r="I784" i="2"/>
  <c r="H784" i="2"/>
  <c r="G784" i="2"/>
  <c r="F784" i="2"/>
  <c r="J783" i="2"/>
  <c r="I783" i="2"/>
  <c r="H783" i="2"/>
  <c r="G783" i="2"/>
  <c r="F783" i="2"/>
  <c r="J782" i="2"/>
  <c r="I782" i="2"/>
  <c r="H782" i="2"/>
  <c r="G782" i="2"/>
  <c r="F782" i="2"/>
  <c r="J781" i="2"/>
  <c r="I781" i="2"/>
  <c r="H781" i="2"/>
  <c r="G781" i="2"/>
  <c r="F781" i="2"/>
  <c r="J780" i="2"/>
  <c r="I780" i="2"/>
  <c r="H780" i="2"/>
  <c r="G780" i="2"/>
  <c r="F780" i="2"/>
  <c r="J779" i="2"/>
  <c r="I779" i="2"/>
  <c r="H779" i="2"/>
  <c r="G779" i="2"/>
  <c r="F779" i="2"/>
  <c r="J778" i="2"/>
  <c r="I778" i="2"/>
  <c r="H778" i="2"/>
  <c r="G778" i="2"/>
  <c r="F778" i="2"/>
  <c r="J777" i="2"/>
  <c r="I777" i="2"/>
  <c r="H777" i="2"/>
  <c r="G777" i="2"/>
  <c r="F777" i="2"/>
  <c r="J776" i="2"/>
  <c r="I776" i="2"/>
  <c r="H776" i="2"/>
  <c r="G776" i="2"/>
  <c r="F776" i="2"/>
  <c r="J775" i="2"/>
  <c r="I775" i="2"/>
  <c r="H775" i="2"/>
  <c r="G775" i="2"/>
  <c r="F775" i="2"/>
  <c r="J774" i="2"/>
  <c r="I774" i="2"/>
  <c r="H774" i="2"/>
  <c r="G774" i="2"/>
  <c r="F774" i="2"/>
  <c r="J773" i="2"/>
  <c r="I773" i="2"/>
  <c r="H773" i="2"/>
  <c r="G773" i="2"/>
  <c r="F773" i="2"/>
  <c r="J772" i="2"/>
  <c r="I772" i="2"/>
  <c r="H772" i="2"/>
  <c r="G772" i="2"/>
  <c r="F772" i="2"/>
  <c r="J771" i="2"/>
  <c r="I771" i="2"/>
  <c r="H771" i="2"/>
  <c r="G771" i="2"/>
  <c r="F771" i="2"/>
  <c r="J770" i="2"/>
  <c r="I770" i="2"/>
  <c r="H770" i="2"/>
  <c r="G770" i="2"/>
  <c r="F770" i="2"/>
  <c r="J769" i="2"/>
  <c r="I769" i="2"/>
  <c r="H769" i="2"/>
  <c r="G769" i="2"/>
  <c r="F769" i="2"/>
  <c r="J768" i="2"/>
  <c r="I768" i="2"/>
  <c r="H768" i="2"/>
  <c r="G768" i="2"/>
  <c r="F768" i="2"/>
  <c r="J767" i="2"/>
  <c r="I767" i="2"/>
  <c r="H767" i="2"/>
  <c r="G767" i="2"/>
  <c r="F767" i="2"/>
  <c r="J766" i="2"/>
  <c r="I766" i="2"/>
  <c r="H766" i="2"/>
  <c r="G766" i="2"/>
  <c r="F766" i="2"/>
  <c r="J765" i="2"/>
  <c r="I765" i="2"/>
  <c r="H765" i="2"/>
  <c r="G765" i="2"/>
  <c r="F765" i="2"/>
  <c r="J764" i="2"/>
  <c r="I764" i="2"/>
  <c r="H764" i="2"/>
  <c r="G764" i="2"/>
  <c r="F764" i="2"/>
  <c r="J763" i="2"/>
  <c r="I763" i="2"/>
  <c r="H763" i="2"/>
  <c r="G763" i="2"/>
  <c r="F763" i="2"/>
  <c r="J762" i="2"/>
  <c r="I762" i="2"/>
  <c r="H762" i="2"/>
  <c r="G762" i="2"/>
  <c r="F762" i="2"/>
  <c r="J761" i="2"/>
  <c r="I761" i="2"/>
  <c r="H761" i="2"/>
  <c r="G761" i="2"/>
  <c r="F761" i="2"/>
  <c r="J760" i="2"/>
  <c r="I760" i="2"/>
  <c r="H760" i="2"/>
  <c r="G760" i="2"/>
  <c r="F760" i="2"/>
  <c r="J759" i="2"/>
  <c r="I759" i="2"/>
  <c r="H759" i="2"/>
  <c r="G759" i="2"/>
  <c r="F759" i="2"/>
  <c r="J758" i="2"/>
  <c r="I758" i="2"/>
  <c r="H758" i="2"/>
  <c r="G758" i="2"/>
  <c r="F758" i="2"/>
  <c r="J757" i="2"/>
  <c r="I757" i="2"/>
  <c r="H757" i="2"/>
  <c r="G757" i="2"/>
  <c r="F757" i="2"/>
  <c r="J756" i="2"/>
  <c r="I756" i="2"/>
  <c r="H756" i="2"/>
  <c r="G756" i="2"/>
  <c r="F756" i="2"/>
  <c r="J755" i="2"/>
  <c r="I755" i="2"/>
  <c r="H755" i="2"/>
  <c r="G755" i="2"/>
  <c r="F755" i="2"/>
  <c r="J754" i="2"/>
  <c r="I754" i="2"/>
  <c r="H754" i="2"/>
  <c r="G754" i="2"/>
  <c r="F754" i="2"/>
  <c r="J753" i="2"/>
  <c r="I753" i="2"/>
  <c r="H753" i="2"/>
  <c r="G753" i="2"/>
  <c r="F753" i="2"/>
  <c r="J752" i="2"/>
  <c r="I752" i="2"/>
  <c r="H752" i="2"/>
  <c r="G752" i="2"/>
  <c r="F752" i="2"/>
  <c r="J751" i="2"/>
  <c r="I751" i="2"/>
  <c r="H751" i="2"/>
  <c r="G751" i="2"/>
  <c r="F751" i="2"/>
  <c r="J750" i="2"/>
  <c r="I750" i="2"/>
  <c r="H750" i="2"/>
  <c r="G750" i="2"/>
  <c r="F750" i="2"/>
  <c r="J749" i="2"/>
  <c r="I749" i="2"/>
  <c r="H749" i="2"/>
  <c r="G749" i="2"/>
  <c r="F749" i="2"/>
  <c r="J748" i="2"/>
  <c r="I748" i="2"/>
  <c r="H748" i="2"/>
  <c r="G748" i="2"/>
  <c r="F748" i="2"/>
  <c r="J747" i="2"/>
  <c r="I747" i="2"/>
  <c r="H747" i="2"/>
  <c r="G747" i="2"/>
  <c r="F747" i="2"/>
  <c r="J746" i="2"/>
  <c r="I746" i="2"/>
  <c r="H746" i="2"/>
  <c r="G746" i="2"/>
  <c r="F746" i="2"/>
  <c r="J745" i="2"/>
  <c r="I745" i="2"/>
  <c r="H745" i="2"/>
  <c r="G745" i="2"/>
  <c r="F745" i="2"/>
  <c r="J744" i="2"/>
  <c r="I744" i="2"/>
  <c r="H744" i="2"/>
  <c r="G744" i="2"/>
  <c r="F744" i="2"/>
  <c r="J743" i="2"/>
  <c r="I743" i="2"/>
  <c r="H743" i="2"/>
  <c r="G743" i="2"/>
  <c r="F743" i="2"/>
  <c r="J742" i="2"/>
  <c r="I742" i="2"/>
  <c r="H742" i="2"/>
  <c r="G742" i="2"/>
  <c r="F742" i="2"/>
  <c r="J741" i="2"/>
  <c r="I741" i="2"/>
  <c r="H741" i="2"/>
  <c r="G741" i="2"/>
  <c r="F741" i="2"/>
  <c r="J740" i="2"/>
  <c r="I740" i="2"/>
  <c r="H740" i="2"/>
  <c r="G740" i="2"/>
  <c r="F740" i="2"/>
  <c r="J739" i="2"/>
  <c r="I739" i="2"/>
  <c r="H739" i="2"/>
  <c r="G739" i="2"/>
  <c r="F739" i="2"/>
  <c r="J738" i="2"/>
  <c r="I738" i="2"/>
  <c r="H738" i="2"/>
  <c r="G738" i="2"/>
  <c r="F738" i="2"/>
  <c r="J737" i="2"/>
  <c r="I737" i="2"/>
  <c r="H737" i="2"/>
  <c r="G737" i="2"/>
  <c r="F737" i="2"/>
  <c r="J736" i="2"/>
  <c r="I736" i="2"/>
  <c r="H736" i="2"/>
  <c r="G736" i="2"/>
  <c r="F736" i="2"/>
  <c r="J735" i="2"/>
  <c r="I735" i="2"/>
  <c r="H735" i="2"/>
  <c r="G735" i="2"/>
  <c r="F735" i="2"/>
  <c r="J734" i="2"/>
  <c r="I734" i="2"/>
  <c r="H734" i="2"/>
  <c r="G734" i="2"/>
  <c r="F734" i="2"/>
  <c r="J733" i="2"/>
  <c r="I733" i="2"/>
  <c r="H733" i="2"/>
  <c r="G733" i="2"/>
  <c r="F733" i="2"/>
  <c r="J732" i="2"/>
  <c r="I732" i="2"/>
  <c r="H732" i="2"/>
  <c r="G732" i="2"/>
  <c r="F732" i="2"/>
  <c r="J731" i="2"/>
  <c r="I731" i="2"/>
  <c r="H731" i="2"/>
  <c r="G731" i="2"/>
  <c r="F731" i="2"/>
  <c r="J730" i="2"/>
  <c r="I730" i="2"/>
  <c r="H730" i="2"/>
  <c r="G730" i="2"/>
  <c r="F730" i="2"/>
  <c r="J729" i="2"/>
  <c r="I729" i="2"/>
  <c r="H729" i="2"/>
  <c r="G729" i="2"/>
  <c r="F729" i="2"/>
  <c r="J728" i="2"/>
  <c r="I728" i="2"/>
  <c r="H728" i="2"/>
  <c r="G728" i="2"/>
  <c r="F728" i="2"/>
  <c r="J727" i="2"/>
  <c r="I727" i="2"/>
  <c r="H727" i="2"/>
  <c r="G727" i="2"/>
  <c r="F727" i="2"/>
  <c r="J726" i="2"/>
  <c r="I726" i="2"/>
  <c r="H726" i="2"/>
  <c r="G726" i="2"/>
  <c r="F726" i="2"/>
  <c r="J725" i="2"/>
  <c r="I725" i="2"/>
  <c r="H725" i="2"/>
  <c r="G725" i="2"/>
  <c r="F725" i="2"/>
  <c r="J724" i="2"/>
  <c r="I724" i="2"/>
  <c r="H724" i="2"/>
  <c r="G724" i="2"/>
  <c r="F724" i="2"/>
  <c r="J723" i="2"/>
  <c r="I723" i="2"/>
  <c r="H723" i="2"/>
  <c r="G723" i="2"/>
  <c r="F723" i="2"/>
  <c r="J722" i="2"/>
  <c r="I722" i="2"/>
  <c r="H722" i="2"/>
  <c r="G722" i="2"/>
  <c r="F722" i="2"/>
  <c r="J721" i="2"/>
  <c r="I721" i="2"/>
  <c r="H721" i="2"/>
  <c r="G721" i="2"/>
  <c r="F721" i="2"/>
  <c r="J720" i="2"/>
  <c r="I720" i="2"/>
  <c r="H720" i="2"/>
  <c r="G720" i="2"/>
  <c r="F720" i="2"/>
  <c r="J719" i="2"/>
  <c r="I719" i="2"/>
  <c r="H719" i="2"/>
  <c r="G719" i="2"/>
  <c r="F719" i="2"/>
  <c r="J718" i="2"/>
  <c r="I718" i="2"/>
  <c r="H718" i="2"/>
  <c r="G718" i="2"/>
  <c r="F718" i="2"/>
  <c r="J717" i="2"/>
  <c r="I717" i="2"/>
  <c r="H717" i="2"/>
  <c r="G717" i="2"/>
  <c r="F717" i="2"/>
  <c r="J716" i="2"/>
  <c r="I716" i="2"/>
  <c r="H716" i="2"/>
  <c r="G716" i="2"/>
  <c r="F716" i="2"/>
  <c r="J715" i="2"/>
  <c r="I715" i="2"/>
  <c r="H715" i="2"/>
  <c r="G715" i="2"/>
  <c r="F715" i="2"/>
  <c r="J714" i="2"/>
  <c r="I714" i="2"/>
  <c r="H714" i="2"/>
  <c r="G714" i="2"/>
  <c r="F714" i="2"/>
  <c r="J713" i="2"/>
  <c r="I713" i="2"/>
  <c r="H713" i="2"/>
  <c r="G713" i="2"/>
  <c r="F713" i="2"/>
  <c r="J712" i="2"/>
  <c r="I712" i="2"/>
  <c r="H712" i="2"/>
  <c r="G712" i="2"/>
  <c r="F712" i="2"/>
  <c r="J711" i="2"/>
  <c r="I711" i="2"/>
  <c r="H711" i="2"/>
  <c r="G711" i="2"/>
  <c r="F711" i="2"/>
  <c r="J710" i="2"/>
  <c r="I710" i="2"/>
  <c r="H710" i="2"/>
  <c r="G710" i="2"/>
  <c r="F710" i="2"/>
  <c r="J709" i="2"/>
  <c r="I709" i="2"/>
  <c r="H709" i="2"/>
  <c r="G709" i="2"/>
  <c r="F709" i="2"/>
  <c r="J708" i="2"/>
  <c r="I708" i="2"/>
  <c r="H708" i="2"/>
  <c r="G708" i="2"/>
  <c r="F708" i="2"/>
  <c r="J707" i="2"/>
  <c r="I707" i="2"/>
  <c r="H707" i="2"/>
  <c r="G707" i="2"/>
  <c r="F707" i="2"/>
  <c r="J706" i="2"/>
  <c r="I706" i="2"/>
  <c r="H706" i="2"/>
  <c r="G706" i="2"/>
  <c r="F706" i="2"/>
  <c r="J705" i="2"/>
  <c r="I705" i="2"/>
  <c r="H705" i="2"/>
  <c r="G705" i="2"/>
  <c r="F705" i="2"/>
  <c r="J704" i="2"/>
  <c r="I704" i="2"/>
  <c r="H704" i="2"/>
  <c r="G704" i="2"/>
  <c r="F704" i="2"/>
  <c r="J703" i="2"/>
  <c r="I703" i="2"/>
  <c r="H703" i="2"/>
  <c r="G703" i="2"/>
  <c r="F703" i="2"/>
  <c r="J702" i="2"/>
  <c r="I702" i="2"/>
  <c r="H702" i="2"/>
  <c r="G702" i="2"/>
  <c r="F702" i="2"/>
  <c r="J701" i="2"/>
  <c r="I701" i="2"/>
  <c r="H701" i="2"/>
  <c r="G701" i="2"/>
  <c r="F701" i="2"/>
  <c r="J700" i="2"/>
  <c r="I700" i="2"/>
  <c r="H700" i="2"/>
  <c r="G700" i="2"/>
  <c r="F700" i="2"/>
  <c r="J699" i="2"/>
  <c r="I699" i="2"/>
  <c r="H699" i="2"/>
  <c r="G699" i="2"/>
  <c r="F699" i="2"/>
  <c r="J698" i="2"/>
  <c r="I698" i="2"/>
  <c r="H698" i="2"/>
  <c r="G698" i="2"/>
  <c r="F698" i="2"/>
  <c r="J697" i="2"/>
  <c r="I697" i="2"/>
  <c r="H697" i="2"/>
  <c r="G697" i="2"/>
  <c r="F697" i="2"/>
  <c r="J696" i="2"/>
  <c r="I696" i="2"/>
  <c r="H696" i="2"/>
  <c r="G696" i="2"/>
  <c r="F696" i="2"/>
  <c r="J695" i="2"/>
  <c r="I695" i="2"/>
  <c r="H695" i="2"/>
  <c r="G695" i="2"/>
  <c r="F695" i="2"/>
  <c r="J694" i="2"/>
  <c r="I694" i="2"/>
  <c r="H694" i="2"/>
  <c r="G694" i="2"/>
  <c r="F694" i="2"/>
  <c r="J693" i="2"/>
  <c r="I693" i="2"/>
  <c r="H693" i="2"/>
  <c r="G693" i="2"/>
  <c r="F693" i="2"/>
  <c r="J692" i="2"/>
  <c r="I692" i="2"/>
  <c r="H692" i="2"/>
  <c r="G692" i="2"/>
  <c r="F692" i="2"/>
  <c r="J691" i="2"/>
  <c r="I691" i="2"/>
  <c r="H691" i="2"/>
  <c r="G691" i="2"/>
  <c r="F691" i="2"/>
  <c r="J690" i="2"/>
  <c r="I690" i="2"/>
  <c r="H690" i="2"/>
  <c r="G690" i="2"/>
  <c r="F690" i="2"/>
  <c r="J689" i="2"/>
  <c r="I689" i="2"/>
  <c r="H689" i="2"/>
  <c r="G689" i="2"/>
  <c r="F689" i="2"/>
  <c r="J688" i="2"/>
  <c r="I688" i="2"/>
  <c r="H688" i="2"/>
  <c r="G688" i="2"/>
  <c r="F688" i="2"/>
  <c r="J687" i="2"/>
  <c r="I687" i="2"/>
  <c r="H687" i="2"/>
  <c r="G687" i="2"/>
  <c r="F687" i="2"/>
  <c r="J686" i="2"/>
  <c r="I686" i="2"/>
  <c r="H686" i="2"/>
  <c r="G686" i="2"/>
  <c r="F686" i="2"/>
  <c r="J685" i="2"/>
  <c r="I685" i="2"/>
  <c r="H685" i="2"/>
  <c r="G685" i="2"/>
  <c r="F685" i="2"/>
  <c r="J684" i="2"/>
  <c r="I684" i="2"/>
  <c r="H684" i="2"/>
  <c r="G684" i="2"/>
  <c r="F684" i="2"/>
  <c r="J683" i="2"/>
  <c r="I683" i="2"/>
  <c r="H683" i="2"/>
  <c r="G683" i="2"/>
  <c r="F683" i="2"/>
  <c r="J682" i="2"/>
  <c r="I682" i="2"/>
  <c r="H682" i="2"/>
  <c r="G682" i="2"/>
  <c r="F682" i="2"/>
  <c r="J681" i="2"/>
  <c r="I681" i="2"/>
  <c r="H681" i="2"/>
  <c r="G681" i="2"/>
  <c r="F681" i="2"/>
  <c r="J680" i="2"/>
  <c r="I680" i="2"/>
  <c r="H680" i="2"/>
  <c r="G680" i="2"/>
  <c r="F680" i="2"/>
  <c r="J679" i="2"/>
  <c r="I679" i="2"/>
  <c r="H679" i="2"/>
  <c r="G679" i="2"/>
  <c r="F679" i="2"/>
  <c r="J678" i="2"/>
  <c r="I678" i="2"/>
  <c r="H678" i="2"/>
  <c r="G678" i="2"/>
  <c r="F678" i="2"/>
  <c r="J677" i="2"/>
  <c r="I677" i="2"/>
  <c r="H677" i="2"/>
  <c r="G677" i="2"/>
  <c r="F677" i="2"/>
  <c r="J676" i="2"/>
  <c r="I676" i="2"/>
  <c r="H676" i="2"/>
  <c r="G676" i="2"/>
  <c r="F676" i="2"/>
  <c r="J675" i="2"/>
  <c r="I675" i="2"/>
  <c r="H675" i="2"/>
  <c r="G675" i="2"/>
  <c r="F675" i="2"/>
  <c r="J674" i="2"/>
  <c r="I674" i="2"/>
  <c r="H674" i="2"/>
  <c r="G674" i="2"/>
  <c r="F674" i="2"/>
  <c r="J673" i="2"/>
  <c r="I673" i="2"/>
  <c r="H673" i="2"/>
  <c r="G673" i="2"/>
  <c r="F673" i="2"/>
  <c r="J672" i="2"/>
  <c r="I672" i="2"/>
  <c r="H672" i="2"/>
  <c r="G672" i="2"/>
  <c r="F672" i="2"/>
  <c r="J671" i="2"/>
  <c r="I671" i="2"/>
  <c r="H671" i="2"/>
  <c r="G671" i="2"/>
  <c r="F671" i="2"/>
  <c r="J670" i="2"/>
  <c r="I670" i="2"/>
  <c r="H670" i="2"/>
  <c r="G670" i="2"/>
  <c r="F670" i="2"/>
  <c r="J669" i="2"/>
  <c r="I669" i="2"/>
  <c r="H669" i="2"/>
  <c r="G669" i="2"/>
  <c r="F669" i="2"/>
  <c r="J668" i="2"/>
  <c r="I668" i="2"/>
  <c r="H668" i="2"/>
  <c r="G668" i="2"/>
  <c r="F668" i="2"/>
  <c r="J667" i="2"/>
  <c r="I667" i="2"/>
  <c r="H667" i="2"/>
  <c r="G667" i="2"/>
  <c r="F667" i="2"/>
  <c r="J666" i="2"/>
  <c r="I666" i="2"/>
  <c r="H666" i="2"/>
  <c r="G666" i="2"/>
  <c r="F666" i="2"/>
  <c r="J665" i="2"/>
  <c r="I665" i="2"/>
  <c r="H665" i="2"/>
  <c r="G665" i="2"/>
  <c r="F665" i="2"/>
  <c r="J664" i="2"/>
  <c r="I664" i="2"/>
  <c r="H664" i="2"/>
  <c r="G664" i="2"/>
  <c r="F664" i="2"/>
  <c r="J663" i="2"/>
  <c r="I663" i="2"/>
  <c r="H663" i="2"/>
  <c r="G663" i="2"/>
  <c r="F663" i="2"/>
  <c r="J662" i="2"/>
  <c r="I662" i="2"/>
  <c r="H662" i="2"/>
  <c r="G662" i="2"/>
  <c r="F662" i="2"/>
  <c r="J661" i="2"/>
  <c r="I661" i="2"/>
  <c r="H661" i="2"/>
  <c r="G661" i="2"/>
  <c r="F661" i="2"/>
  <c r="J660" i="2"/>
  <c r="I660" i="2"/>
  <c r="H660" i="2"/>
  <c r="G660" i="2"/>
  <c r="F660" i="2"/>
  <c r="J659" i="2"/>
  <c r="I659" i="2"/>
  <c r="H659" i="2"/>
  <c r="G659" i="2"/>
  <c r="F659" i="2"/>
  <c r="J658" i="2"/>
  <c r="I658" i="2"/>
  <c r="H658" i="2"/>
  <c r="G658" i="2"/>
  <c r="F658" i="2"/>
  <c r="J657" i="2"/>
  <c r="I657" i="2"/>
  <c r="H657" i="2"/>
  <c r="G657" i="2"/>
  <c r="F657" i="2"/>
  <c r="J656" i="2"/>
  <c r="I656" i="2"/>
  <c r="H656" i="2"/>
  <c r="G656" i="2"/>
  <c r="F656" i="2"/>
  <c r="J655" i="2"/>
  <c r="I655" i="2"/>
  <c r="H655" i="2"/>
  <c r="G655" i="2"/>
  <c r="F655" i="2"/>
  <c r="J654" i="2"/>
  <c r="I654" i="2"/>
  <c r="H654" i="2"/>
  <c r="G654" i="2"/>
  <c r="F654" i="2"/>
  <c r="J653" i="2"/>
  <c r="I653" i="2"/>
  <c r="H653" i="2"/>
  <c r="G653" i="2"/>
  <c r="F653" i="2"/>
  <c r="J652" i="2"/>
  <c r="I652" i="2"/>
  <c r="H652" i="2"/>
  <c r="G652" i="2"/>
  <c r="F652" i="2"/>
  <c r="J651" i="2"/>
  <c r="I651" i="2"/>
  <c r="H651" i="2"/>
  <c r="G651" i="2"/>
  <c r="F651" i="2"/>
  <c r="J650" i="2"/>
  <c r="I650" i="2"/>
  <c r="H650" i="2"/>
  <c r="G650" i="2"/>
  <c r="F650" i="2"/>
  <c r="J649" i="2"/>
  <c r="I649" i="2"/>
  <c r="H649" i="2"/>
  <c r="G649" i="2"/>
  <c r="F649" i="2"/>
  <c r="J648" i="2"/>
  <c r="I648" i="2"/>
  <c r="H648" i="2"/>
  <c r="G648" i="2"/>
  <c r="F648" i="2"/>
  <c r="J647" i="2"/>
  <c r="I647" i="2"/>
  <c r="H647" i="2"/>
  <c r="G647" i="2"/>
  <c r="F647" i="2"/>
  <c r="J646" i="2"/>
  <c r="I646" i="2"/>
  <c r="H646" i="2"/>
  <c r="G646" i="2"/>
  <c r="F646" i="2"/>
  <c r="J645" i="2"/>
  <c r="I645" i="2"/>
  <c r="H645" i="2"/>
  <c r="G645" i="2"/>
  <c r="F645" i="2"/>
  <c r="J644" i="2"/>
  <c r="I644" i="2"/>
  <c r="H644" i="2"/>
  <c r="G644" i="2"/>
  <c r="F644" i="2"/>
  <c r="J643" i="2"/>
  <c r="I643" i="2"/>
  <c r="H643" i="2"/>
  <c r="G643" i="2"/>
  <c r="F643" i="2"/>
  <c r="J642" i="2"/>
  <c r="I642" i="2"/>
  <c r="H642" i="2"/>
  <c r="G642" i="2"/>
  <c r="F642" i="2"/>
  <c r="J641" i="2"/>
  <c r="I641" i="2"/>
  <c r="H641" i="2"/>
  <c r="G641" i="2"/>
  <c r="F641" i="2"/>
  <c r="J640" i="2"/>
  <c r="I640" i="2"/>
  <c r="H640" i="2"/>
  <c r="G640" i="2"/>
  <c r="F640" i="2"/>
  <c r="J639" i="2"/>
  <c r="I639" i="2"/>
  <c r="H639" i="2"/>
  <c r="G639" i="2"/>
  <c r="F639" i="2"/>
  <c r="J638" i="2"/>
  <c r="I638" i="2"/>
  <c r="H638" i="2"/>
  <c r="G638" i="2"/>
  <c r="F638" i="2"/>
  <c r="J637" i="2"/>
  <c r="I637" i="2"/>
  <c r="H637" i="2"/>
  <c r="G637" i="2"/>
  <c r="F637" i="2"/>
  <c r="J636" i="2"/>
  <c r="I636" i="2"/>
  <c r="H636" i="2"/>
  <c r="G636" i="2"/>
  <c r="F636" i="2"/>
  <c r="J635" i="2"/>
  <c r="I635" i="2"/>
  <c r="H635" i="2"/>
  <c r="G635" i="2"/>
  <c r="F635" i="2"/>
  <c r="J634" i="2"/>
  <c r="I634" i="2"/>
  <c r="H634" i="2"/>
  <c r="G634" i="2"/>
  <c r="F634" i="2"/>
  <c r="J633" i="2"/>
  <c r="I633" i="2"/>
  <c r="H633" i="2"/>
  <c r="G633" i="2"/>
  <c r="F633" i="2"/>
  <c r="J632" i="2"/>
  <c r="I632" i="2"/>
  <c r="H632" i="2"/>
  <c r="G632" i="2"/>
  <c r="F632" i="2"/>
  <c r="J631" i="2"/>
  <c r="I631" i="2"/>
  <c r="H631" i="2"/>
  <c r="G631" i="2"/>
  <c r="F631" i="2"/>
  <c r="J630" i="2"/>
  <c r="I630" i="2"/>
  <c r="H630" i="2"/>
  <c r="G630" i="2"/>
  <c r="F630" i="2"/>
  <c r="J629" i="2"/>
  <c r="I629" i="2"/>
  <c r="H629" i="2"/>
  <c r="G629" i="2"/>
  <c r="F629" i="2"/>
  <c r="J628" i="2"/>
  <c r="I628" i="2"/>
  <c r="H628" i="2"/>
  <c r="G628" i="2"/>
  <c r="F628" i="2"/>
  <c r="J627" i="2"/>
  <c r="I627" i="2"/>
  <c r="H627" i="2"/>
  <c r="G627" i="2"/>
  <c r="F627" i="2"/>
  <c r="J626" i="2"/>
  <c r="I626" i="2"/>
  <c r="H626" i="2"/>
  <c r="G626" i="2"/>
  <c r="F626" i="2"/>
  <c r="J625" i="2"/>
  <c r="I625" i="2"/>
  <c r="H625" i="2"/>
  <c r="G625" i="2"/>
  <c r="F625" i="2"/>
  <c r="J624" i="2"/>
  <c r="I624" i="2"/>
  <c r="H624" i="2"/>
  <c r="G624" i="2"/>
  <c r="F624" i="2"/>
  <c r="J623" i="2"/>
  <c r="I623" i="2"/>
  <c r="H623" i="2"/>
  <c r="G623" i="2"/>
  <c r="F623" i="2"/>
  <c r="J622" i="2"/>
  <c r="I622" i="2"/>
  <c r="H622" i="2"/>
  <c r="G622" i="2"/>
  <c r="F622" i="2"/>
  <c r="J621" i="2"/>
  <c r="I621" i="2"/>
  <c r="H621" i="2"/>
  <c r="G621" i="2"/>
  <c r="F621" i="2"/>
  <c r="J620" i="2"/>
  <c r="I620" i="2"/>
  <c r="H620" i="2"/>
  <c r="G620" i="2"/>
  <c r="F620" i="2"/>
  <c r="J619" i="2"/>
  <c r="I619" i="2"/>
  <c r="H619" i="2"/>
  <c r="G619" i="2"/>
  <c r="F619" i="2"/>
  <c r="J618" i="2"/>
  <c r="I618" i="2"/>
  <c r="H618" i="2"/>
  <c r="G618" i="2"/>
  <c r="F618" i="2"/>
  <c r="J617" i="2"/>
  <c r="I617" i="2"/>
  <c r="H617" i="2"/>
  <c r="G617" i="2"/>
  <c r="F617" i="2"/>
  <c r="J616" i="2"/>
  <c r="I616" i="2"/>
  <c r="H616" i="2"/>
  <c r="G616" i="2"/>
  <c r="F616" i="2"/>
  <c r="J615" i="2"/>
  <c r="I615" i="2"/>
  <c r="H615" i="2"/>
  <c r="G615" i="2"/>
  <c r="F615" i="2"/>
  <c r="J614" i="2"/>
  <c r="I614" i="2"/>
  <c r="H614" i="2"/>
  <c r="G614" i="2"/>
  <c r="F614" i="2"/>
  <c r="J613" i="2"/>
  <c r="I613" i="2"/>
  <c r="H613" i="2"/>
  <c r="G613" i="2"/>
  <c r="F613" i="2"/>
  <c r="J612" i="2"/>
  <c r="I612" i="2"/>
  <c r="H612" i="2"/>
  <c r="G612" i="2"/>
  <c r="F612" i="2"/>
  <c r="J611" i="2"/>
  <c r="I611" i="2"/>
  <c r="H611" i="2"/>
  <c r="G611" i="2"/>
  <c r="F611" i="2"/>
  <c r="J610" i="2"/>
  <c r="I610" i="2"/>
  <c r="H610" i="2"/>
  <c r="G610" i="2"/>
  <c r="F610" i="2"/>
  <c r="J609" i="2"/>
  <c r="I609" i="2"/>
  <c r="H609" i="2"/>
  <c r="G609" i="2"/>
  <c r="F609" i="2"/>
  <c r="J608" i="2"/>
  <c r="I608" i="2"/>
  <c r="H608" i="2"/>
  <c r="G608" i="2"/>
  <c r="F608" i="2"/>
  <c r="J607" i="2"/>
  <c r="I607" i="2"/>
  <c r="H607" i="2"/>
  <c r="G607" i="2"/>
  <c r="F607" i="2"/>
  <c r="J606" i="2"/>
  <c r="I606" i="2"/>
  <c r="H606" i="2"/>
  <c r="G606" i="2"/>
  <c r="F606" i="2"/>
  <c r="J605" i="2"/>
  <c r="I605" i="2"/>
  <c r="H605" i="2"/>
  <c r="G605" i="2"/>
  <c r="F605" i="2"/>
  <c r="J604" i="2"/>
  <c r="I604" i="2"/>
  <c r="H604" i="2"/>
  <c r="G604" i="2"/>
  <c r="F604" i="2"/>
  <c r="J603" i="2"/>
  <c r="I603" i="2"/>
  <c r="H603" i="2"/>
  <c r="G603" i="2"/>
  <c r="F603" i="2"/>
  <c r="J602" i="2"/>
  <c r="I602" i="2"/>
  <c r="H602" i="2"/>
  <c r="G602" i="2"/>
  <c r="F602" i="2"/>
  <c r="J601" i="2"/>
  <c r="I601" i="2"/>
  <c r="H601" i="2"/>
  <c r="G601" i="2"/>
  <c r="F601" i="2"/>
  <c r="J600" i="2"/>
  <c r="I600" i="2"/>
  <c r="H600" i="2"/>
  <c r="G600" i="2"/>
  <c r="F600" i="2"/>
  <c r="J599" i="2"/>
  <c r="I599" i="2"/>
  <c r="H599" i="2"/>
  <c r="G599" i="2"/>
  <c r="F599" i="2"/>
  <c r="J598" i="2"/>
  <c r="I598" i="2"/>
  <c r="H598" i="2"/>
  <c r="G598" i="2"/>
  <c r="F598" i="2"/>
  <c r="J597" i="2"/>
  <c r="I597" i="2"/>
  <c r="H597" i="2"/>
  <c r="G597" i="2"/>
  <c r="F597" i="2"/>
  <c r="J596" i="2"/>
  <c r="I596" i="2"/>
  <c r="H596" i="2"/>
  <c r="G596" i="2"/>
  <c r="F596" i="2"/>
  <c r="J595" i="2"/>
  <c r="I595" i="2"/>
  <c r="H595" i="2"/>
  <c r="G595" i="2"/>
  <c r="F595" i="2"/>
  <c r="J594" i="2"/>
  <c r="I594" i="2"/>
  <c r="H594" i="2"/>
  <c r="G594" i="2"/>
  <c r="F594" i="2"/>
  <c r="J593" i="2"/>
  <c r="I593" i="2"/>
  <c r="H593" i="2"/>
  <c r="G593" i="2"/>
  <c r="F593" i="2"/>
  <c r="J592" i="2"/>
  <c r="I592" i="2"/>
  <c r="H592" i="2"/>
  <c r="G592" i="2"/>
  <c r="F592" i="2"/>
  <c r="J591" i="2"/>
  <c r="I591" i="2"/>
  <c r="H591" i="2"/>
  <c r="G591" i="2"/>
  <c r="F591" i="2"/>
  <c r="J590" i="2"/>
  <c r="I590" i="2"/>
  <c r="H590" i="2"/>
  <c r="G590" i="2"/>
  <c r="F590" i="2"/>
  <c r="J589" i="2"/>
  <c r="I589" i="2"/>
  <c r="H589" i="2"/>
  <c r="G589" i="2"/>
  <c r="F589" i="2"/>
  <c r="J588" i="2"/>
  <c r="I588" i="2"/>
  <c r="H588" i="2"/>
  <c r="G588" i="2"/>
  <c r="F588" i="2"/>
  <c r="J587" i="2"/>
  <c r="I587" i="2"/>
  <c r="H587" i="2"/>
  <c r="G587" i="2"/>
  <c r="F587" i="2"/>
  <c r="J586" i="2"/>
  <c r="I586" i="2"/>
  <c r="H586" i="2"/>
  <c r="G586" i="2"/>
  <c r="F586" i="2"/>
  <c r="J585" i="2"/>
  <c r="I585" i="2"/>
  <c r="H585" i="2"/>
  <c r="G585" i="2"/>
  <c r="F585" i="2"/>
  <c r="J584" i="2"/>
  <c r="I584" i="2"/>
  <c r="H584" i="2"/>
  <c r="G584" i="2"/>
  <c r="F584" i="2"/>
  <c r="J583" i="2"/>
  <c r="I583" i="2"/>
  <c r="H583" i="2"/>
  <c r="G583" i="2"/>
  <c r="F583" i="2"/>
  <c r="J582" i="2"/>
  <c r="I582" i="2"/>
  <c r="H582" i="2"/>
  <c r="G582" i="2"/>
  <c r="F582" i="2"/>
  <c r="J581" i="2"/>
  <c r="I581" i="2"/>
  <c r="H581" i="2"/>
  <c r="G581" i="2"/>
  <c r="F581" i="2"/>
  <c r="J580" i="2"/>
  <c r="I580" i="2"/>
  <c r="H580" i="2"/>
  <c r="G580" i="2"/>
  <c r="F580" i="2"/>
  <c r="J579" i="2"/>
  <c r="I579" i="2"/>
  <c r="H579" i="2"/>
  <c r="G579" i="2"/>
  <c r="F579" i="2"/>
  <c r="J578" i="2"/>
  <c r="I578" i="2"/>
  <c r="H578" i="2"/>
  <c r="G578" i="2"/>
  <c r="F578" i="2"/>
  <c r="J577" i="2"/>
  <c r="I577" i="2"/>
  <c r="H577" i="2"/>
  <c r="G577" i="2"/>
  <c r="F577" i="2"/>
  <c r="J576" i="2"/>
  <c r="I576" i="2"/>
  <c r="H576" i="2"/>
  <c r="G576" i="2"/>
  <c r="F576" i="2"/>
  <c r="J575" i="2"/>
  <c r="I575" i="2"/>
  <c r="H575" i="2"/>
  <c r="G575" i="2"/>
  <c r="F575" i="2"/>
  <c r="J574" i="2"/>
  <c r="I574" i="2"/>
  <c r="H574" i="2"/>
  <c r="G574" i="2"/>
  <c r="F574" i="2"/>
  <c r="J573" i="2"/>
  <c r="I573" i="2"/>
  <c r="H573" i="2"/>
  <c r="G573" i="2"/>
  <c r="F573" i="2"/>
  <c r="J572" i="2"/>
  <c r="I572" i="2"/>
  <c r="H572" i="2"/>
  <c r="G572" i="2"/>
  <c r="F572" i="2"/>
  <c r="J571" i="2"/>
  <c r="I571" i="2"/>
  <c r="H571" i="2"/>
  <c r="G571" i="2"/>
  <c r="F571" i="2"/>
  <c r="J570" i="2"/>
  <c r="I570" i="2"/>
  <c r="H570" i="2"/>
  <c r="G570" i="2"/>
  <c r="F570" i="2"/>
  <c r="J569" i="2"/>
  <c r="I569" i="2"/>
  <c r="H569" i="2"/>
  <c r="G569" i="2"/>
  <c r="F569" i="2"/>
  <c r="J568" i="2"/>
  <c r="I568" i="2"/>
  <c r="H568" i="2"/>
  <c r="G568" i="2"/>
  <c r="F568" i="2"/>
  <c r="J567" i="2"/>
  <c r="I567" i="2"/>
  <c r="H567" i="2"/>
  <c r="G567" i="2"/>
  <c r="F567" i="2"/>
  <c r="J566" i="2"/>
  <c r="I566" i="2"/>
  <c r="H566" i="2"/>
  <c r="G566" i="2"/>
  <c r="F566" i="2"/>
  <c r="J565" i="2"/>
  <c r="I565" i="2"/>
  <c r="H565" i="2"/>
  <c r="G565" i="2"/>
  <c r="F565" i="2"/>
  <c r="J564" i="2"/>
  <c r="I564" i="2"/>
  <c r="H564" i="2"/>
  <c r="G564" i="2"/>
  <c r="F564" i="2"/>
  <c r="J563" i="2"/>
  <c r="I563" i="2"/>
  <c r="H563" i="2"/>
  <c r="G563" i="2"/>
  <c r="F563" i="2"/>
  <c r="J562" i="2"/>
  <c r="I562" i="2"/>
  <c r="H562" i="2"/>
  <c r="G562" i="2"/>
  <c r="F562" i="2"/>
  <c r="J561" i="2"/>
  <c r="I561" i="2"/>
  <c r="H561" i="2"/>
  <c r="G561" i="2"/>
  <c r="F561" i="2"/>
  <c r="J560" i="2"/>
  <c r="I560" i="2"/>
  <c r="H560" i="2"/>
  <c r="G560" i="2"/>
  <c r="F560" i="2"/>
  <c r="J559" i="2"/>
  <c r="I559" i="2"/>
  <c r="H559" i="2"/>
  <c r="G559" i="2"/>
  <c r="F559" i="2"/>
  <c r="J558" i="2"/>
  <c r="I558" i="2"/>
  <c r="H558" i="2"/>
  <c r="G558" i="2"/>
  <c r="F558" i="2"/>
  <c r="J557" i="2"/>
  <c r="I557" i="2"/>
  <c r="H557" i="2"/>
  <c r="G557" i="2"/>
  <c r="F557" i="2"/>
  <c r="J556" i="2"/>
  <c r="I556" i="2"/>
  <c r="H556" i="2"/>
  <c r="G556" i="2"/>
  <c r="F556" i="2"/>
  <c r="J555" i="2"/>
  <c r="I555" i="2"/>
  <c r="H555" i="2"/>
  <c r="G555" i="2"/>
  <c r="F555" i="2"/>
  <c r="J554" i="2"/>
  <c r="I554" i="2"/>
  <c r="H554" i="2"/>
  <c r="G554" i="2"/>
  <c r="F554" i="2"/>
  <c r="J553" i="2"/>
  <c r="I553" i="2"/>
  <c r="H553" i="2"/>
  <c r="G553" i="2"/>
  <c r="F553" i="2"/>
  <c r="J552" i="2"/>
  <c r="I552" i="2"/>
  <c r="H552" i="2"/>
  <c r="G552" i="2"/>
  <c r="F552" i="2"/>
  <c r="J551" i="2"/>
  <c r="I551" i="2"/>
  <c r="H551" i="2"/>
  <c r="G551" i="2"/>
  <c r="F551" i="2"/>
  <c r="J550" i="2"/>
  <c r="I550" i="2"/>
  <c r="H550" i="2"/>
  <c r="G550" i="2"/>
  <c r="F550" i="2"/>
  <c r="J549" i="2"/>
  <c r="I549" i="2"/>
  <c r="H549" i="2"/>
  <c r="G549" i="2"/>
  <c r="F549" i="2"/>
  <c r="J548" i="2"/>
  <c r="I548" i="2"/>
  <c r="H548" i="2"/>
  <c r="G548" i="2"/>
  <c r="F548" i="2"/>
  <c r="J547" i="2"/>
  <c r="I547" i="2"/>
  <c r="H547" i="2"/>
  <c r="G547" i="2"/>
  <c r="F547" i="2"/>
  <c r="J546" i="2"/>
  <c r="I546" i="2"/>
  <c r="H546" i="2"/>
  <c r="G546" i="2"/>
  <c r="F546" i="2"/>
  <c r="J545" i="2"/>
  <c r="I545" i="2"/>
  <c r="H545" i="2"/>
  <c r="G545" i="2"/>
  <c r="F545" i="2"/>
  <c r="J544" i="2"/>
  <c r="I544" i="2"/>
  <c r="H544" i="2"/>
  <c r="G544" i="2"/>
  <c r="F544" i="2"/>
  <c r="J543" i="2"/>
  <c r="I543" i="2"/>
  <c r="H543" i="2"/>
  <c r="G543" i="2"/>
  <c r="F543" i="2"/>
  <c r="J542" i="2"/>
  <c r="I542" i="2"/>
  <c r="H542" i="2"/>
  <c r="G542" i="2"/>
  <c r="F542" i="2"/>
  <c r="J541" i="2"/>
  <c r="I541" i="2"/>
  <c r="H541" i="2"/>
  <c r="G541" i="2"/>
  <c r="F541" i="2"/>
  <c r="J540" i="2"/>
  <c r="I540" i="2"/>
  <c r="H540" i="2"/>
  <c r="G540" i="2"/>
  <c r="F540" i="2"/>
  <c r="J539" i="2"/>
  <c r="I539" i="2"/>
  <c r="H539" i="2"/>
  <c r="G539" i="2"/>
  <c r="F539" i="2"/>
  <c r="J538" i="2"/>
  <c r="I538" i="2"/>
  <c r="H538" i="2"/>
  <c r="G538" i="2"/>
  <c r="F538" i="2"/>
  <c r="J537" i="2"/>
  <c r="I537" i="2"/>
  <c r="H537" i="2"/>
  <c r="G537" i="2"/>
  <c r="F537" i="2"/>
  <c r="J536" i="2"/>
  <c r="I536" i="2"/>
  <c r="H536" i="2"/>
  <c r="G536" i="2"/>
  <c r="F536" i="2"/>
  <c r="J535" i="2"/>
  <c r="I535" i="2"/>
  <c r="H535" i="2"/>
  <c r="G535" i="2"/>
  <c r="F535" i="2"/>
  <c r="J534" i="2"/>
  <c r="I534" i="2"/>
  <c r="H534" i="2"/>
  <c r="G534" i="2"/>
  <c r="F534" i="2"/>
  <c r="J533" i="2"/>
  <c r="I533" i="2"/>
  <c r="H533" i="2"/>
  <c r="G533" i="2"/>
  <c r="F533" i="2"/>
  <c r="J532" i="2"/>
  <c r="I532" i="2"/>
  <c r="H532" i="2"/>
  <c r="G532" i="2"/>
  <c r="F532" i="2"/>
  <c r="J531" i="2"/>
  <c r="I531" i="2"/>
  <c r="H531" i="2"/>
  <c r="G531" i="2"/>
  <c r="F531" i="2"/>
  <c r="J530" i="2"/>
  <c r="I530" i="2"/>
  <c r="H530" i="2"/>
  <c r="G530" i="2"/>
  <c r="F530" i="2"/>
  <c r="J529" i="2"/>
  <c r="I529" i="2"/>
  <c r="H529" i="2"/>
  <c r="G529" i="2"/>
  <c r="F529" i="2"/>
  <c r="J528" i="2"/>
  <c r="I528" i="2"/>
  <c r="H528" i="2"/>
  <c r="G528" i="2"/>
  <c r="F528" i="2"/>
  <c r="J527" i="2"/>
  <c r="I527" i="2"/>
  <c r="H527" i="2"/>
  <c r="G527" i="2"/>
  <c r="F527" i="2"/>
  <c r="J526" i="2"/>
  <c r="I526" i="2"/>
  <c r="H526" i="2"/>
  <c r="G526" i="2"/>
  <c r="F526" i="2"/>
  <c r="J525" i="2"/>
  <c r="I525" i="2"/>
  <c r="H525" i="2"/>
  <c r="G525" i="2"/>
  <c r="F525" i="2"/>
  <c r="J524" i="2"/>
  <c r="I524" i="2"/>
  <c r="H524" i="2"/>
  <c r="G524" i="2"/>
  <c r="F524" i="2"/>
  <c r="J523" i="2"/>
  <c r="I523" i="2"/>
  <c r="H523" i="2"/>
  <c r="G523" i="2"/>
  <c r="F523" i="2"/>
  <c r="J522" i="2"/>
  <c r="I522" i="2"/>
  <c r="H522" i="2"/>
  <c r="G522" i="2"/>
  <c r="F522" i="2"/>
  <c r="J521" i="2"/>
  <c r="I521" i="2"/>
  <c r="H521" i="2"/>
  <c r="G521" i="2"/>
  <c r="F521" i="2"/>
  <c r="J520" i="2"/>
  <c r="I520" i="2"/>
  <c r="H520" i="2"/>
  <c r="G520" i="2"/>
  <c r="F520" i="2"/>
  <c r="J519" i="2"/>
  <c r="I519" i="2"/>
  <c r="H519" i="2"/>
  <c r="G519" i="2"/>
  <c r="F519" i="2"/>
  <c r="J518" i="2"/>
  <c r="I518" i="2"/>
  <c r="H518" i="2"/>
  <c r="G518" i="2"/>
  <c r="F518" i="2"/>
  <c r="J517" i="2"/>
  <c r="I517" i="2"/>
  <c r="H517" i="2"/>
  <c r="G517" i="2"/>
  <c r="F517" i="2"/>
  <c r="J516" i="2"/>
  <c r="I516" i="2"/>
  <c r="H516" i="2"/>
  <c r="G516" i="2"/>
  <c r="F516" i="2"/>
  <c r="J515" i="2"/>
  <c r="I515" i="2"/>
  <c r="H515" i="2"/>
  <c r="G515" i="2"/>
  <c r="F515" i="2"/>
  <c r="J514" i="2"/>
  <c r="I514" i="2"/>
  <c r="H514" i="2"/>
  <c r="G514" i="2"/>
  <c r="F514" i="2"/>
  <c r="J513" i="2"/>
  <c r="I513" i="2"/>
  <c r="H513" i="2"/>
  <c r="G513" i="2"/>
  <c r="F513" i="2"/>
  <c r="J512" i="2"/>
  <c r="I512" i="2"/>
  <c r="H512" i="2"/>
  <c r="G512" i="2"/>
  <c r="F512" i="2"/>
  <c r="J511" i="2"/>
  <c r="I511" i="2"/>
  <c r="H511" i="2"/>
  <c r="G511" i="2"/>
  <c r="F511" i="2"/>
  <c r="J510" i="2"/>
  <c r="I510" i="2"/>
  <c r="H510" i="2"/>
  <c r="G510" i="2"/>
  <c r="F510" i="2"/>
  <c r="J509" i="2"/>
  <c r="I509" i="2"/>
  <c r="H509" i="2"/>
  <c r="G509" i="2"/>
  <c r="F509" i="2"/>
  <c r="J508" i="2"/>
  <c r="I508" i="2"/>
  <c r="H508" i="2"/>
  <c r="G508" i="2"/>
  <c r="F508" i="2"/>
  <c r="J507" i="2"/>
  <c r="I507" i="2"/>
  <c r="H507" i="2"/>
  <c r="G507" i="2"/>
  <c r="F507" i="2"/>
  <c r="J506" i="2"/>
  <c r="I506" i="2"/>
  <c r="H506" i="2"/>
  <c r="G506" i="2"/>
  <c r="F506" i="2"/>
  <c r="J505" i="2"/>
  <c r="I505" i="2"/>
  <c r="H505" i="2"/>
  <c r="G505" i="2"/>
  <c r="F505" i="2"/>
  <c r="J504" i="2"/>
  <c r="I504" i="2"/>
  <c r="H504" i="2"/>
  <c r="G504" i="2"/>
  <c r="F504" i="2"/>
  <c r="J503" i="2"/>
  <c r="I503" i="2"/>
  <c r="H503" i="2"/>
  <c r="G503" i="2"/>
  <c r="F503" i="2"/>
  <c r="J502" i="2"/>
  <c r="I502" i="2"/>
  <c r="H502" i="2"/>
  <c r="G502" i="2"/>
  <c r="F502" i="2"/>
  <c r="J501" i="2"/>
  <c r="I501" i="2"/>
  <c r="H501" i="2"/>
  <c r="G501" i="2"/>
  <c r="F501" i="2"/>
  <c r="J500" i="2"/>
  <c r="I500" i="2"/>
  <c r="H500" i="2"/>
  <c r="G500" i="2"/>
  <c r="F500" i="2"/>
  <c r="J499" i="2"/>
  <c r="I499" i="2"/>
  <c r="H499" i="2"/>
  <c r="G499" i="2"/>
  <c r="F499" i="2"/>
  <c r="J498" i="2"/>
  <c r="I498" i="2"/>
  <c r="H498" i="2"/>
  <c r="G498" i="2"/>
  <c r="F498" i="2"/>
  <c r="J497" i="2"/>
  <c r="I497" i="2"/>
  <c r="H497" i="2"/>
  <c r="G497" i="2"/>
  <c r="F497" i="2"/>
  <c r="J496" i="2"/>
  <c r="I496" i="2"/>
  <c r="H496" i="2"/>
  <c r="G496" i="2"/>
  <c r="F496" i="2"/>
  <c r="J495" i="2"/>
  <c r="I495" i="2"/>
  <c r="H495" i="2"/>
  <c r="G495" i="2"/>
  <c r="F495" i="2"/>
  <c r="J494" i="2"/>
  <c r="I494" i="2"/>
  <c r="H494" i="2"/>
  <c r="G494" i="2"/>
  <c r="F494" i="2"/>
  <c r="J493" i="2"/>
  <c r="I493" i="2"/>
  <c r="H493" i="2"/>
  <c r="G493" i="2"/>
  <c r="F493" i="2"/>
  <c r="J492" i="2"/>
  <c r="I492" i="2"/>
  <c r="H492" i="2"/>
  <c r="G492" i="2"/>
  <c r="F492" i="2"/>
  <c r="J491" i="2"/>
  <c r="I491" i="2"/>
  <c r="H491" i="2"/>
  <c r="G491" i="2"/>
  <c r="F491" i="2"/>
  <c r="J490" i="2"/>
  <c r="I490" i="2"/>
  <c r="H490" i="2"/>
  <c r="G490" i="2"/>
  <c r="F490" i="2"/>
  <c r="J489" i="2"/>
  <c r="I489" i="2"/>
  <c r="H489" i="2"/>
  <c r="G489" i="2"/>
  <c r="F489" i="2"/>
  <c r="J488" i="2"/>
  <c r="I488" i="2"/>
  <c r="H488" i="2"/>
  <c r="G488" i="2"/>
  <c r="F488" i="2"/>
  <c r="J487" i="2"/>
  <c r="I487" i="2"/>
  <c r="H487" i="2"/>
  <c r="G487" i="2"/>
  <c r="F487" i="2"/>
  <c r="J486" i="2"/>
  <c r="I486" i="2"/>
  <c r="H486" i="2"/>
  <c r="G486" i="2"/>
  <c r="F486" i="2"/>
  <c r="J485" i="2"/>
  <c r="I485" i="2"/>
  <c r="H485" i="2"/>
  <c r="G485" i="2"/>
  <c r="F485" i="2"/>
  <c r="J484" i="2"/>
  <c r="I484" i="2"/>
  <c r="H484" i="2"/>
  <c r="G484" i="2"/>
  <c r="F484" i="2"/>
  <c r="J483" i="2"/>
  <c r="I483" i="2"/>
  <c r="H483" i="2"/>
  <c r="G483" i="2"/>
  <c r="F483" i="2"/>
  <c r="J482" i="2"/>
  <c r="I482" i="2"/>
  <c r="H482" i="2"/>
  <c r="G482" i="2"/>
  <c r="F482" i="2"/>
  <c r="J481" i="2"/>
  <c r="I481" i="2"/>
  <c r="H481" i="2"/>
  <c r="G481" i="2"/>
  <c r="F481" i="2"/>
  <c r="J480" i="2"/>
  <c r="I480" i="2"/>
  <c r="H480" i="2"/>
  <c r="G480" i="2"/>
  <c r="F480" i="2"/>
  <c r="J479" i="2"/>
  <c r="I479" i="2"/>
  <c r="H479" i="2"/>
  <c r="G479" i="2"/>
  <c r="F479" i="2"/>
  <c r="J478" i="2"/>
  <c r="I478" i="2"/>
  <c r="H478" i="2"/>
  <c r="G478" i="2"/>
  <c r="F478" i="2"/>
  <c r="J477" i="2"/>
  <c r="I477" i="2"/>
  <c r="H477" i="2"/>
  <c r="G477" i="2"/>
  <c r="F477" i="2"/>
  <c r="J476" i="2"/>
  <c r="I476" i="2"/>
  <c r="H476" i="2"/>
  <c r="G476" i="2"/>
  <c r="F476" i="2"/>
  <c r="J475" i="2"/>
  <c r="I475" i="2"/>
  <c r="H475" i="2"/>
  <c r="G475" i="2"/>
  <c r="F475" i="2"/>
  <c r="J474" i="2"/>
  <c r="I474" i="2"/>
  <c r="H474" i="2"/>
  <c r="G474" i="2"/>
  <c r="F474" i="2"/>
  <c r="J473" i="2"/>
  <c r="I473" i="2"/>
  <c r="H473" i="2"/>
  <c r="G473" i="2"/>
  <c r="F473" i="2"/>
  <c r="J472" i="2"/>
  <c r="I472" i="2"/>
  <c r="H472" i="2"/>
  <c r="G472" i="2"/>
  <c r="F472" i="2"/>
  <c r="J471" i="2"/>
  <c r="I471" i="2"/>
  <c r="H471" i="2"/>
  <c r="G471" i="2"/>
  <c r="F471" i="2"/>
  <c r="J470" i="2"/>
  <c r="I470" i="2"/>
  <c r="H470" i="2"/>
  <c r="G470" i="2"/>
  <c r="F470" i="2"/>
  <c r="J469" i="2"/>
  <c r="I469" i="2"/>
  <c r="H469" i="2"/>
  <c r="G469" i="2"/>
  <c r="F469" i="2"/>
  <c r="J468" i="2"/>
  <c r="I468" i="2"/>
  <c r="H468" i="2"/>
  <c r="G468" i="2"/>
  <c r="F468" i="2"/>
  <c r="J467" i="2"/>
  <c r="I467" i="2"/>
  <c r="H467" i="2"/>
  <c r="G467" i="2"/>
  <c r="F467" i="2"/>
  <c r="J466" i="2"/>
  <c r="I466" i="2"/>
  <c r="H466" i="2"/>
  <c r="G466" i="2"/>
  <c r="F466" i="2"/>
  <c r="J465" i="2"/>
  <c r="I465" i="2"/>
  <c r="H465" i="2"/>
  <c r="G465" i="2"/>
  <c r="F465" i="2"/>
  <c r="J464" i="2"/>
  <c r="I464" i="2"/>
  <c r="H464" i="2"/>
  <c r="G464" i="2"/>
  <c r="F464" i="2"/>
  <c r="J463" i="2"/>
  <c r="I463" i="2"/>
  <c r="H463" i="2"/>
  <c r="G463" i="2"/>
  <c r="F463" i="2"/>
  <c r="J462" i="2"/>
  <c r="I462" i="2"/>
  <c r="H462" i="2"/>
  <c r="G462" i="2"/>
  <c r="F462" i="2"/>
  <c r="J461" i="2"/>
  <c r="I461" i="2"/>
  <c r="H461" i="2"/>
  <c r="G461" i="2"/>
  <c r="F461" i="2"/>
  <c r="J460" i="2"/>
  <c r="I460" i="2"/>
  <c r="H460" i="2"/>
  <c r="G460" i="2"/>
  <c r="F460" i="2"/>
  <c r="J459" i="2"/>
  <c r="I459" i="2"/>
  <c r="H459" i="2"/>
  <c r="G459" i="2"/>
  <c r="F459" i="2"/>
  <c r="J458" i="2"/>
  <c r="I458" i="2"/>
  <c r="H458" i="2"/>
  <c r="G458" i="2"/>
  <c r="F458" i="2"/>
  <c r="J457" i="2"/>
  <c r="I457" i="2"/>
  <c r="H457" i="2"/>
  <c r="G457" i="2"/>
  <c r="F457" i="2"/>
  <c r="J456" i="2"/>
  <c r="I456" i="2"/>
  <c r="H456" i="2"/>
  <c r="G456" i="2"/>
  <c r="F456" i="2"/>
  <c r="J455" i="2"/>
  <c r="I455" i="2"/>
  <c r="H455" i="2"/>
  <c r="G455" i="2"/>
  <c r="F455" i="2"/>
  <c r="J454" i="2"/>
  <c r="I454" i="2"/>
  <c r="H454" i="2"/>
  <c r="G454" i="2"/>
  <c r="F454" i="2"/>
  <c r="J453" i="2"/>
  <c r="I453" i="2"/>
  <c r="H453" i="2"/>
  <c r="G453" i="2"/>
  <c r="F453" i="2"/>
  <c r="J452" i="2"/>
  <c r="I452" i="2"/>
  <c r="H452" i="2"/>
  <c r="G452" i="2"/>
  <c r="F452" i="2"/>
  <c r="J451" i="2"/>
  <c r="I451" i="2"/>
  <c r="H451" i="2"/>
  <c r="G451" i="2"/>
  <c r="F451" i="2"/>
  <c r="J450" i="2"/>
  <c r="I450" i="2"/>
  <c r="H450" i="2"/>
  <c r="G450" i="2"/>
  <c r="F450" i="2"/>
  <c r="J449" i="2"/>
  <c r="I449" i="2"/>
  <c r="H449" i="2"/>
  <c r="G449" i="2"/>
  <c r="F449" i="2"/>
  <c r="J448" i="2"/>
  <c r="I448" i="2"/>
  <c r="H448" i="2"/>
  <c r="G448" i="2"/>
  <c r="F448" i="2"/>
  <c r="J447" i="2"/>
  <c r="I447" i="2"/>
  <c r="H447" i="2"/>
  <c r="G447" i="2"/>
  <c r="F447" i="2"/>
  <c r="J446" i="2"/>
  <c r="I446" i="2"/>
  <c r="H446" i="2"/>
  <c r="G446" i="2"/>
  <c r="F446" i="2"/>
  <c r="J445" i="2"/>
  <c r="I445" i="2"/>
  <c r="H445" i="2"/>
  <c r="G445" i="2"/>
  <c r="F445" i="2"/>
  <c r="J444" i="2"/>
  <c r="I444" i="2"/>
  <c r="H444" i="2"/>
  <c r="G444" i="2"/>
  <c r="F444" i="2"/>
  <c r="J443" i="2"/>
  <c r="I443" i="2"/>
  <c r="H443" i="2"/>
  <c r="G443" i="2"/>
  <c r="F443" i="2"/>
  <c r="J442" i="2"/>
  <c r="I442" i="2"/>
  <c r="H442" i="2"/>
  <c r="G442" i="2"/>
  <c r="F442" i="2"/>
  <c r="J441" i="2"/>
  <c r="I441" i="2"/>
  <c r="H441" i="2"/>
  <c r="G441" i="2"/>
  <c r="F441" i="2"/>
  <c r="J440" i="2"/>
  <c r="I440" i="2"/>
  <c r="H440" i="2"/>
  <c r="G440" i="2"/>
  <c r="F440" i="2"/>
  <c r="J439" i="2"/>
  <c r="I439" i="2"/>
  <c r="H439" i="2"/>
  <c r="G439" i="2"/>
  <c r="F439" i="2"/>
  <c r="J438" i="2"/>
  <c r="I438" i="2"/>
  <c r="H438" i="2"/>
  <c r="G438" i="2"/>
  <c r="F438" i="2"/>
  <c r="J437" i="2"/>
  <c r="I437" i="2"/>
  <c r="H437" i="2"/>
  <c r="G437" i="2"/>
  <c r="F437" i="2"/>
  <c r="J436" i="2"/>
  <c r="I436" i="2"/>
  <c r="H436" i="2"/>
  <c r="G436" i="2"/>
  <c r="F436" i="2"/>
  <c r="J435" i="2"/>
  <c r="I435" i="2"/>
  <c r="H435" i="2"/>
  <c r="G435" i="2"/>
  <c r="F435" i="2"/>
  <c r="J434" i="2"/>
  <c r="I434" i="2"/>
  <c r="H434" i="2"/>
  <c r="G434" i="2"/>
  <c r="F434" i="2"/>
  <c r="J433" i="2"/>
  <c r="I433" i="2"/>
  <c r="H433" i="2"/>
  <c r="G433" i="2"/>
  <c r="F433" i="2"/>
  <c r="J432" i="2"/>
  <c r="I432" i="2"/>
  <c r="H432" i="2"/>
  <c r="G432" i="2"/>
  <c r="F432" i="2"/>
  <c r="J431" i="2"/>
  <c r="I431" i="2"/>
  <c r="H431" i="2"/>
  <c r="G431" i="2"/>
  <c r="F431" i="2"/>
  <c r="J430" i="2"/>
  <c r="I430" i="2"/>
  <c r="H430" i="2"/>
  <c r="G430" i="2"/>
  <c r="F430" i="2"/>
  <c r="J429" i="2"/>
  <c r="I429" i="2"/>
  <c r="H429" i="2"/>
  <c r="G429" i="2"/>
  <c r="F429" i="2"/>
  <c r="J428" i="2"/>
  <c r="I428" i="2"/>
  <c r="H428" i="2"/>
  <c r="G428" i="2"/>
  <c r="F428" i="2"/>
  <c r="J427" i="2"/>
  <c r="I427" i="2"/>
  <c r="H427" i="2"/>
  <c r="G427" i="2"/>
  <c r="F427" i="2"/>
  <c r="J426" i="2"/>
  <c r="I426" i="2"/>
  <c r="H426" i="2"/>
  <c r="G426" i="2"/>
  <c r="F426" i="2"/>
  <c r="J425" i="2"/>
  <c r="I425" i="2"/>
  <c r="H425" i="2"/>
  <c r="G425" i="2"/>
  <c r="F425" i="2"/>
  <c r="J424" i="2"/>
  <c r="I424" i="2"/>
  <c r="H424" i="2"/>
  <c r="G424" i="2"/>
  <c r="F424" i="2"/>
  <c r="J423" i="2"/>
  <c r="I423" i="2"/>
  <c r="H423" i="2"/>
  <c r="G423" i="2"/>
  <c r="F423" i="2"/>
  <c r="J422" i="2"/>
  <c r="I422" i="2"/>
  <c r="H422" i="2"/>
  <c r="G422" i="2"/>
  <c r="F422" i="2"/>
  <c r="J421" i="2"/>
  <c r="I421" i="2"/>
  <c r="H421" i="2"/>
  <c r="G421" i="2"/>
  <c r="F421" i="2"/>
  <c r="J420" i="2"/>
  <c r="I420" i="2"/>
  <c r="H420" i="2"/>
  <c r="G420" i="2"/>
  <c r="F420" i="2"/>
  <c r="J419" i="2"/>
  <c r="I419" i="2"/>
  <c r="H419" i="2"/>
  <c r="G419" i="2"/>
  <c r="F419" i="2"/>
  <c r="J418" i="2"/>
  <c r="I418" i="2"/>
  <c r="H418" i="2"/>
  <c r="G418" i="2"/>
  <c r="F418" i="2"/>
  <c r="J417" i="2"/>
  <c r="I417" i="2"/>
  <c r="H417" i="2"/>
  <c r="G417" i="2"/>
  <c r="F417" i="2"/>
  <c r="J416" i="2"/>
  <c r="I416" i="2"/>
  <c r="H416" i="2"/>
  <c r="G416" i="2"/>
  <c r="F416" i="2"/>
  <c r="J415" i="2"/>
  <c r="I415" i="2"/>
  <c r="H415" i="2"/>
  <c r="G415" i="2"/>
  <c r="F415" i="2"/>
  <c r="J414" i="2"/>
  <c r="I414" i="2"/>
  <c r="H414" i="2"/>
  <c r="G414" i="2"/>
  <c r="F414" i="2"/>
  <c r="J413" i="2"/>
  <c r="I413" i="2"/>
  <c r="H413" i="2"/>
  <c r="G413" i="2"/>
  <c r="F413" i="2"/>
  <c r="J412" i="2"/>
  <c r="I412" i="2"/>
  <c r="H412" i="2"/>
  <c r="G412" i="2"/>
  <c r="F412" i="2"/>
  <c r="J411" i="2"/>
  <c r="I411" i="2"/>
  <c r="H411" i="2"/>
  <c r="G411" i="2"/>
  <c r="F411" i="2"/>
  <c r="J410" i="2"/>
  <c r="I410" i="2"/>
  <c r="H410" i="2"/>
  <c r="G410" i="2"/>
  <c r="F410" i="2"/>
  <c r="J409" i="2"/>
  <c r="I409" i="2"/>
  <c r="H409" i="2"/>
  <c r="G409" i="2"/>
  <c r="F409" i="2"/>
  <c r="J408" i="2"/>
  <c r="I408" i="2"/>
  <c r="H408" i="2"/>
  <c r="G408" i="2"/>
  <c r="F408" i="2"/>
  <c r="J407" i="2"/>
  <c r="I407" i="2"/>
  <c r="H407" i="2"/>
  <c r="G407" i="2"/>
  <c r="F407" i="2"/>
  <c r="J406" i="2"/>
  <c r="I406" i="2"/>
  <c r="H406" i="2"/>
  <c r="G406" i="2"/>
  <c r="F406" i="2"/>
  <c r="J405" i="2"/>
  <c r="I405" i="2"/>
  <c r="H405" i="2"/>
  <c r="G405" i="2"/>
  <c r="F405" i="2"/>
  <c r="J404" i="2"/>
  <c r="I404" i="2"/>
  <c r="H404" i="2"/>
  <c r="G404" i="2"/>
  <c r="F404" i="2"/>
  <c r="J403" i="2"/>
  <c r="I403" i="2"/>
  <c r="H403" i="2"/>
  <c r="G403" i="2"/>
  <c r="F403" i="2"/>
  <c r="J402" i="2"/>
  <c r="I402" i="2"/>
  <c r="H402" i="2"/>
  <c r="G402" i="2"/>
  <c r="F402" i="2"/>
  <c r="J401" i="2"/>
  <c r="I401" i="2"/>
  <c r="H401" i="2"/>
  <c r="G401" i="2"/>
  <c r="F401" i="2"/>
  <c r="J400" i="2"/>
  <c r="I400" i="2"/>
  <c r="H400" i="2"/>
  <c r="G400" i="2"/>
  <c r="F400" i="2"/>
  <c r="J399" i="2"/>
  <c r="I399" i="2"/>
  <c r="H399" i="2"/>
  <c r="G399" i="2"/>
  <c r="F399" i="2"/>
  <c r="J398" i="2"/>
  <c r="I398" i="2"/>
  <c r="H398" i="2"/>
  <c r="G398" i="2"/>
  <c r="F398" i="2"/>
  <c r="J397" i="2"/>
  <c r="I397" i="2"/>
  <c r="H397" i="2"/>
  <c r="G397" i="2"/>
  <c r="F397" i="2"/>
  <c r="J396" i="2"/>
  <c r="I396" i="2"/>
  <c r="H396" i="2"/>
  <c r="G396" i="2"/>
  <c r="F396" i="2"/>
  <c r="J395" i="2"/>
  <c r="I395" i="2"/>
  <c r="H395" i="2"/>
  <c r="G395" i="2"/>
  <c r="F395" i="2"/>
  <c r="J394" i="2"/>
  <c r="I394" i="2"/>
  <c r="H394" i="2"/>
  <c r="G394" i="2"/>
  <c r="F394" i="2"/>
  <c r="J393" i="2"/>
  <c r="I393" i="2"/>
  <c r="H393" i="2"/>
  <c r="G393" i="2"/>
  <c r="F393" i="2"/>
  <c r="J392" i="2"/>
  <c r="I392" i="2"/>
  <c r="H392" i="2"/>
  <c r="G392" i="2"/>
  <c r="F392" i="2"/>
  <c r="J391" i="2"/>
  <c r="I391" i="2"/>
  <c r="H391" i="2"/>
  <c r="G391" i="2"/>
  <c r="F391" i="2"/>
  <c r="J390" i="2"/>
  <c r="I390" i="2"/>
  <c r="H390" i="2"/>
  <c r="G390" i="2"/>
  <c r="F390" i="2"/>
  <c r="J389" i="2"/>
  <c r="I389" i="2"/>
  <c r="H389" i="2"/>
  <c r="G389" i="2"/>
  <c r="F389" i="2"/>
  <c r="J388" i="2"/>
  <c r="I388" i="2"/>
  <c r="H388" i="2"/>
  <c r="G388" i="2"/>
  <c r="F388" i="2"/>
  <c r="J387" i="2"/>
  <c r="I387" i="2"/>
  <c r="H387" i="2"/>
  <c r="G387" i="2"/>
  <c r="F387" i="2"/>
  <c r="J386" i="2"/>
  <c r="I386" i="2"/>
  <c r="H386" i="2"/>
  <c r="G386" i="2"/>
  <c r="F386" i="2"/>
  <c r="J385" i="2"/>
  <c r="I385" i="2"/>
  <c r="H385" i="2"/>
  <c r="G385" i="2"/>
  <c r="F385" i="2"/>
  <c r="J384" i="2"/>
  <c r="I384" i="2"/>
  <c r="H384" i="2"/>
  <c r="G384" i="2"/>
  <c r="F384" i="2"/>
  <c r="J383" i="2"/>
  <c r="I383" i="2"/>
  <c r="H383" i="2"/>
  <c r="G383" i="2"/>
  <c r="F383" i="2"/>
  <c r="J382" i="2"/>
  <c r="I382" i="2"/>
  <c r="H382" i="2"/>
  <c r="G382" i="2"/>
  <c r="F382" i="2"/>
  <c r="J381" i="2"/>
  <c r="I381" i="2"/>
  <c r="H381" i="2"/>
  <c r="G381" i="2"/>
  <c r="F381" i="2"/>
  <c r="J380" i="2"/>
  <c r="I380" i="2"/>
  <c r="H380" i="2"/>
  <c r="G380" i="2"/>
  <c r="F380" i="2"/>
  <c r="J379" i="2"/>
  <c r="I379" i="2"/>
  <c r="H379" i="2"/>
  <c r="G379" i="2"/>
  <c r="F379" i="2"/>
  <c r="J378" i="2"/>
  <c r="I378" i="2"/>
  <c r="H378" i="2"/>
  <c r="G378" i="2"/>
  <c r="F378" i="2"/>
  <c r="J377" i="2"/>
  <c r="I377" i="2"/>
  <c r="H377" i="2"/>
  <c r="G377" i="2"/>
  <c r="F377" i="2"/>
  <c r="J376" i="2"/>
  <c r="I376" i="2"/>
  <c r="H376" i="2"/>
  <c r="G376" i="2"/>
  <c r="F376" i="2"/>
  <c r="J375" i="2"/>
  <c r="I375" i="2"/>
  <c r="H375" i="2"/>
  <c r="G375" i="2"/>
  <c r="F375" i="2"/>
  <c r="J374" i="2"/>
  <c r="I374" i="2"/>
  <c r="H374" i="2"/>
  <c r="G374" i="2"/>
  <c r="F374" i="2"/>
  <c r="J373" i="2"/>
  <c r="I373" i="2"/>
  <c r="H373" i="2"/>
  <c r="G373" i="2"/>
  <c r="F373" i="2"/>
  <c r="J372" i="2"/>
  <c r="I372" i="2"/>
  <c r="H372" i="2"/>
  <c r="G372" i="2"/>
  <c r="F372" i="2"/>
  <c r="J371" i="2"/>
  <c r="I371" i="2"/>
  <c r="H371" i="2"/>
  <c r="G371" i="2"/>
  <c r="F371" i="2"/>
  <c r="J370" i="2"/>
  <c r="I370" i="2"/>
  <c r="H370" i="2"/>
  <c r="G370" i="2"/>
  <c r="F370" i="2"/>
  <c r="J369" i="2"/>
  <c r="I369" i="2"/>
  <c r="H369" i="2"/>
  <c r="G369" i="2"/>
  <c r="F369" i="2"/>
  <c r="J368" i="2"/>
  <c r="I368" i="2"/>
  <c r="H368" i="2"/>
  <c r="G368" i="2"/>
  <c r="F368" i="2"/>
  <c r="J367" i="2"/>
  <c r="I367" i="2"/>
  <c r="H367" i="2"/>
  <c r="G367" i="2"/>
  <c r="F367" i="2"/>
  <c r="J366" i="2"/>
  <c r="I366" i="2"/>
  <c r="H366" i="2"/>
  <c r="G366" i="2"/>
  <c r="F366" i="2"/>
  <c r="J365" i="2"/>
  <c r="I365" i="2"/>
  <c r="H365" i="2"/>
  <c r="G365" i="2"/>
  <c r="F365" i="2"/>
  <c r="J364" i="2"/>
  <c r="I364" i="2"/>
  <c r="H364" i="2"/>
  <c r="G364" i="2"/>
  <c r="F364" i="2"/>
  <c r="J363" i="2"/>
  <c r="I363" i="2"/>
  <c r="H363" i="2"/>
  <c r="G363" i="2"/>
  <c r="F363" i="2"/>
  <c r="J362" i="2"/>
  <c r="I362" i="2"/>
  <c r="H362" i="2"/>
  <c r="G362" i="2"/>
  <c r="F362" i="2"/>
  <c r="J361" i="2"/>
  <c r="I361" i="2"/>
  <c r="H361" i="2"/>
  <c r="G361" i="2"/>
  <c r="F361" i="2"/>
  <c r="J360" i="2"/>
  <c r="I360" i="2"/>
  <c r="H360" i="2"/>
  <c r="G360" i="2"/>
  <c r="F360" i="2"/>
  <c r="J359" i="2"/>
  <c r="I359" i="2"/>
  <c r="H359" i="2"/>
  <c r="G359" i="2"/>
  <c r="F359" i="2"/>
  <c r="J358" i="2"/>
  <c r="I358" i="2"/>
  <c r="H358" i="2"/>
  <c r="G358" i="2"/>
  <c r="F358" i="2"/>
  <c r="J357" i="2"/>
  <c r="I357" i="2"/>
  <c r="H357" i="2"/>
  <c r="G357" i="2"/>
  <c r="F357" i="2"/>
  <c r="J356" i="2"/>
  <c r="I356" i="2"/>
  <c r="H356" i="2"/>
  <c r="G356" i="2"/>
  <c r="F356" i="2"/>
  <c r="J355" i="2"/>
  <c r="I355" i="2"/>
  <c r="H355" i="2"/>
  <c r="G355" i="2"/>
  <c r="F355" i="2"/>
  <c r="J354" i="2"/>
  <c r="I354" i="2"/>
  <c r="H354" i="2"/>
  <c r="G354" i="2"/>
  <c r="F354" i="2"/>
  <c r="J353" i="2"/>
  <c r="I353" i="2"/>
  <c r="H353" i="2"/>
  <c r="G353" i="2"/>
  <c r="F353" i="2"/>
  <c r="J352" i="2"/>
  <c r="I352" i="2"/>
  <c r="H352" i="2"/>
  <c r="G352" i="2"/>
  <c r="F352" i="2"/>
  <c r="J351" i="2"/>
  <c r="I351" i="2"/>
  <c r="H351" i="2"/>
  <c r="G351" i="2"/>
  <c r="F351" i="2"/>
  <c r="J350" i="2"/>
  <c r="I350" i="2"/>
  <c r="H350" i="2"/>
  <c r="G350" i="2"/>
  <c r="F350" i="2"/>
  <c r="J349" i="2"/>
  <c r="I349" i="2"/>
  <c r="H349" i="2"/>
  <c r="G349" i="2"/>
  <c r="F349" i="2"/>
  <c r="J348" i="2"/>
  <c r="I348" i="2"/>
  <c r="H348" i="2"/>
  <c r="G348" i="2"/>
  <c r="F348" i="2"/>
  <c r="J347" i="2"/>
  <c r="I347" i="2"/>
  <c r="H347" i="2"/>
  <c r="G347" i="2"/>
  <c r="F347" i="2"/>
  <c r="J346" i="2"/>
  <c r="I346" i="2"/>
  <c r="H346" i="2"/>
  <c r="G346" i="2"/>
  <c r="F346" i="2"/>
  <c r="J345" i="2"/>
  <c r="I345" i="2"/>
  <c r="H345" i="2"/>
  <c r="G345" i="2"/>
  <c r="F345" i="2"/>
  <c r="J344" i="2"/>
  <c r="I344" i="2"/>
  <c r="H344" i="2"/>
  <c r="G344" i="2"/>
  <c r="F344" i="2"/>
  <c r="J343" i="2"/>
  <c r="I343" i="2"/>
  <c r="H343" i="2"/>
  <c r="G343" i="2"/>
  <c r="F343" i="2"/>
  <c r="J342" i="2"/>
  <c r="I342" i="2"/>
  <c r="H342" i="2"/>
  <c r="G342" i="2"/>
  <c r="F342" i="2"/>
  <c r="J341" i="2"/>
  <c r="I341" i="2"/>
  <c r="H341" i="2"/>
  <c r="G341" i="2"/>
  <c r="F341" i="2"/>
  <c r="J340" i="2"/>
  <c r="I340" i="2"/>
  <c r="H340" i="2"/>
  <c r="G340" i="2"/>
  <c r="F340" i="2"/>
  <c r="J339" i="2"/>
  <c r="I339" i="2"/>
  <c r="H339" i="2"/>
  <c r="G339" i="2"/>
  <c r="F339" i="2"/>
  <c r="J338" i="2"/>
  <c r="I338" i="2"/>
  <c r="H338" i="2"/>
  <c r="G338" i="2"/>
  <c r="F338" i="2"/>
  <c r="J337" i="2"/>
  <c r="I337" i="2"/>
  <c r="H337" i="2"/>
  <c r="G337" i="2"/>
  <c r="F337" i="2"/>
  <c r="J336" i="2"/>
  <c r="I336" i="2"/>
  <c r="H336" i="2"/>
  <c r="G336" i="2"/>
  <c r="F336" i="2"/>
  <c r="J335" i="2"/>
  <c r="I335" i="2"/>
  <c r="H335" i="2"/>
  <c r="G335" i="2"/>
  <c r="F335" i="2"/>
  <c r="J334" i="2"/>
  <c r="I334" i="2"/>
  <c r="H334" i="2"/>
  <c r="G334" i="2"/>
  <c r="F334" i="2"/>
  <c r="J333" i="2"/>
  <c r="I333" i="2"/>
  <c r="H333" i="2"/>
  <c r="G333" i="2"/>
  <c r="F333" i="2"/>
  <c r="J332" i="2"/>
  <c r="I332" i="2"/>
  <c r="H332" i="2"/>
  <c r="G332" i="2"/>
  <c r="F332" i="2"/>
  <c r="J331" i="2"/>
  <c r="I331" i="2"/>
  <c r="H331" i="2"/>
  <c r="G331" i="2"/>
  <c r="F331" i="2"/>
  <c r="J330" i="2"/>
  <c r="I330" i="2"/>
  <c r="H330" i="2"/>
  <c r="G330" i="2"/>
  <c r="F330" i="2"/>
  <c r="J329" i="2"/>
  <c r="I329" i="2"/>
  <c r="H329" i="2"/>
  <c r="G329" i="2"/>
  <c r="F329" i="2"/>
  <c r="J328" i="2"/>
  <c r="I328" i="2"/>
  <c r="H328" i="2"/>
  <c r="G328" i="2"/>
  <c r="F328" i="2"/>
  <c r="J327" i="2"/>
  <c r="I327" i="2"/>
  <c r="H327" i="2"/>
  <c r="G327" i="2"/>
  <c r="F327" i="2"/>
  <c r="J326" i="2"/>
  <c r="I326" i="2"/>
  <c r="H326" i="2"/>
  <c r="G326" i="2"/>
  <c r="F326" i="2"/>
  <c r="J325" i="2"/>
  <c r="I325" i="2"/>
  <c r="H325" i="2"/>
  <c r="G325" i="2"/>
  <c r="F325" i="2"/>
  <c r="J324" i="2"/>
  <c r="I324" i="2"/>
  <c r="H324" i="2"/>
  <c r="G324" i="2"/>
  <c r="F324" i="2"/>
  <c r="J323" i="2"/>
  <c r="I323" i="2"/>
  <c r="H323" i="2"/>
  <c r="G323" i="2"/>
  <c r="F323" i="2"/>
  <c r="J322" i="2"/>
  <c r="I322" i="2"/>
  <c r="H322" i="2"/>
  <c r="G322" i="2"/>
  <c r="F322" i="2"/>
  <c r="J321" i="2"/>
  <c r="I321" i="2"/>
  <c r="H321" i="2"/>
  <c r="G321" i="2"/>
  <c r="F321" i="2"/>
  <c r="J320" i="2"/>
  <c r="I320" i="2"/>
  <c r="H320" i="2"/>
  <c r="G320" i="2"/>
  <c r="F320" i="2"/>
  <c r="J319" i="2"/>
  <c r="I319" i="2"/>
  <c r="H319" i="2"/>
  <c r="G319" i="2"/>
  <c r="F319" i="2"/>
  <c r="J318" i="2"/>
  <c r="I318" i="2"/>
  <c r="H318" i="2"/>
  <c r="G318" i="2"/>
  <c r="F318" i="2"/>
  <c r="J317" i="2"/>
  <c r="I317" i="2"/>
  <c r="H317" i="2"/>
  <c r="G317" i="2"/>
  <c r="F317" i="2"/>
  <c r="J316" i="2"/>
  <c r="I316" i="2"/>
  <c r="H316" i="2"/>
  <c r="G316" i="2"/>
  <c r="F316" i="2"/>
  <c r="J315" i="2"/>
  <c r="I315" i="2"/>
  <c r="H315" i="2"/>
  <c r="G315" i="2"/>
  <c r="F315" i="2"/>
  <c r="J314" i="2"/>
  <c r="I314" i="2"/>
  <c r="H314" i="2"/>
  <c r="G314" i="2"/>
  <c r="F314" i="2"/>
  <c r="J313" i="2"/>
  <c r="I313" i="2"/>
  <c r="H313" i="2"/>
  <c r="G313" i="2"/>
  <c r="F313" i="2"/>
  <c r="J312" i="2"/>
  <c r="I312" i="2"/>
  <c r="H312" i="2"/>
  <c r="G312" i="2"/>
  <c r="F312" i="2"/>
  <c r="J311" i="2"/>
  <c r="I311" i="2"/>
  <c r="H311" i="2"/>
  <c r="G311" i="2"/>
  <c r="F311" i="2"/>
  <c r="J310" i="2"/>
  <c r="I310" i="2"/>
  <c r="H310" i="2"/>
  <c r="G310" i="2"/>
  <c r="F310" i="2"/>
  <c r="J309" i="2"/>
  <c r="I309" i="2"/>
  <c r="H309" i="2"/>
  <c r="G309" i="2"/>
  <c r="F309" i="2"/>
  <c r="J308" i="2"/>
  <c r="I308" i="2"/>
  <c r="H308" i="2"/>
  <c r="G308" i="2"/>
  <c r="F308" i="2"/>
  <c r="J307" i="2"/>
  <c r="I307" i="2"/>
  <c r="H307" i="2"/>
  <c r="G307" i="2"/>
  <c r="F307" i="2"/>
  <c r="J306" i="2"/>
  <c r="I306" i="2"/>
  <c r="H306" i="2"/>
  <c r="G306" i="2"/>
  <c r="F306" i="2"/>
  <c r="J305" i="2"/>
  <c r="I305" i="2"/>
  <c r="H305" i="2"/>
  <c r="G305" i="2"/>
  <c r="F305" i="2"/>
  <c r="J304" i="2"/>
  <c r="I304" i="2"/>
  <c r="H304" i="2"/>
  <c r="G304" i="2"/>
  <c r="F304" i="2"/>
  <c r="J303" i="2"/>
  <c r="I303" i="2"/>
  <c r="H303" i="2"/>
  <c r="G303" i="2"/>
  <c r="F303" i="2"/>
  <c r="J302" i="2"/>
  <c r="I302" i="2"/>
  <c r="H302" i="2"/>
  <c r="G302" i="2"/>
  <c r="F302" i="2"/>
  <c r="J301" i="2"/>
  <c r="I301" i="2"/>
  <c r="H301" i="2"/>
  <c r="G301" i="2"/>
  <c r="F301" i="2"/>
  <c r="J300" i="2"/>
  <c r="I300" i="2"/>
  <c r="H300" i="2"/>
  <c r="G300" i="2"/>
  <c r="F300" i="2"/>
  <c r="J299" i="2"/>
  <c r="I299" i="2"/>
  <c r="H299" i="2"/>
  <c r="G299" i="2"/>
  <c r="F299" i="2"/>
  <c r="J298" i="2"/>
  <c r="I298" i="2"/>
  <c r="H298" i="2"/>
  <c r="G298" i="2"/>
  <c r="F298" i="2"/>
  <c r="J297" i="2"/>
  <c r="I297" i="2"/>
  <c r="H297" i="2"/>
  <c r="G297" i="2"/>
  <c r="F297" i="2"/>
  <c r="J296" i="2"/>
  <c r="I296" i="2"/>
  <c r="H296" i="2"/>
  <c r="G296" i="2"/>
  <c r="F296" i="2"/>
  <c r="J295" i="2"/>
  <c r="I295" i="2"/>
  <c r="H295" i="2"/>
  <c r="G295" i="2"/>
  <c r="F295" i="2"/>
  <c r="J294" i="2"/>
  <c r="I294" i="2"/>
  <c r="H294" i="2"/>
  <c r="G294" i="2"/>
  <c r="F294" i="2"/>
  <c r="J293" i="2"/>
  <c r="I293" i="2"/>
  <c r="H293" i="2"/>
  <c r="G293" i="2"/>
  <c r="F293" i="2"/>
  <c r="J292" i="2"/>
  <c r="I292" i="2"/>
  <c r="H292" i="2"/>
  <c r="G292" i="2"/>
  <c r="F292" i="2"/>
  <c r="J291" i="2"/>
  <c r="I291" i="2"/>
  <c r="H291" i="2"/>
  <c r="G291" i="2"/>
  <c r="F291" i="2"/>
  <c r="J290" i="2"/>
  <c r="I290" i="2"/>
  <c r="H290" i="2"/>
  <c r="G290" i="2"/>
  <c r="F290" i="2"/>
  <c r="J289" i="2"/>
  <c r="I289" i="2"/>
  <c r="H289" i="2"/>
  <c r="G289" i="2"/>
  <c r="F289" i="2"/>
  <c r="J288" i="2"/>
  <c r="I288" i="2"/>
  <c r="H288" i="2"/>
  <c r="G288" i="2"/>
  <c r="F288" i="2"/>
  <c r="J287" i="2"/>
  <c r="I287" i="2"/>
  <c r="H287" i="2"/>
  <c r="G287" i="2"/>
  <c r="F287" i="2"/>
  <c r="J286" i="2"/>
  <c r="I286" i="2"/>
  <c r="H286" i="2"/>
  <c r="G286" i="2"/>
  <c r="F286" i="2"/>
  <c r="J285" i="2"/>
  <c r="I285" i="2"/>
  <c r="H285" i="2"/>
  <c r="G285" i="2"/>
  <c r="F285" i="2"/>
  <c r="J284" i="2"/>
  <c r="I284" i="2"/>
  <c r="H284" i="2"/>
  <c r="G284" i="2"/>
  <c r="F284" i="2"/>
  <c r="J283" i="2"/>
  <c r="I283" i="2"/>
  <c r="H283" i="2"/>
  <c r="G283" i="2"/>
  <c r="F283" i="2"/>
  <c r="J282" i="2"/>
  <c r="I282" i="2"/>
  <c r="H282" i="2"/>
  <c r="G282" i="2"/>
  <c r="F282" i="2"/>
  <c r="J281" i="2"/>
  <c r="I281" i="2"/>
  <c r="H281" i="2"/>
  <c r="G281" i="2"/>
  <c r="F281" i="2"/>
  <c r="J280" i="2"/>
  <c r="I280" i="2"/>
  <c r="H280" i="2"/>
  <c r="G280" i="2"/>
  <c r="F280" i="2"/>
  <c r="J279" i="2"/>
  <c r="I279" i="2"/>
  <c r="H279" i="2"/>
  <c r="G279" i="2"/>
  <c r="F279" i="2"/>
  <c r="J278" i="2"/>
  <c r="I278" i="2"/>
  <c r="H278" i="2"/>
  <c r="G278" i="2"/>
  <c r="F278" i="2"/>
  <c r="J277" i="2"/>
  <c r="I277" i="2"/>
  <c r="H277" i="2"/>
  <c r="G277" i="2"/>
  <c r="F277" i="2"/>
  <c r="J276" i="2"/>
  <c r="I276" i="2"/>
  <c r="H276" i="2"/>
  <c r="G276" i="2"/>
  <c r="F276" i="2"/>
  <c r="J275" i="2"/>
  <c r="I275" i="2"/>
  <c r="H275" i="2"/>
  <c r="G275" i="2"/>
  <c r="F275" i="2"/>
  <c r="J274" i="2"/>
  <c r="I274" i="2"/>
  <c r="H274" i="2"/>
  <c r="G274" i="2"/>
  <c r="F274" i="2"/>
  <c r="J273" i="2"/>
  <c r="I273" i="2"/>
  <c r="H273" i="2"/>
  <c r="G273" i="2"/>
  <c r="F273" i="2"/>
  <c r="J272" i="2"/>
  <c r="I272" i="2"/>
  <c r="H272" i="2"/>
  <c r="G272" i="2"/>
  <c r="F272" i="2"/>
  <c r="J271" i="2"/>
  <c r="I271" i="2"/>
  <c r="H271" i="2"/>
  <c r="G271" i="2"/>
  <c r="F271" i="2"/>
  <c r="J270" i="2"/>
  <c r="I270" i="2"/>
  <c r="H270" i="2"/>
  <c r="G270" i="2"/>
  <c r="F270" i="2"/>
  <c r="J269" i="2"/>
  <c r="I269" i="2"/>
  <c r="H269" i="2"/>
  <c r="G269" i="2"/>
  <c r="F269" i="2"/>
  <c r="J268" i="2"/>
  <c r="I268" i="2"/>
  <c r="H268" i="2"/>
  <c r="G268" i="2"/>
  <c r="F268" i="2"/>
  <c r="J267" i="2"/>
  <c r="I267" i="2"/>
  <c r="H267" i="2"/>
  <c r="G267" i="2"/>
  <c r="F267" i="2"/>
  <c r="J266" i="2"/>
  <c r="I266" i="2"/>
  <c r="H266" i="2"/>
  <c r="G266" i="2"/>
  <c r="F266" i="2"/>
  <c r="J265" i="2"/>
  <c r="I265" i="2"/>
  <c r="H265" i="2"/>
  <c r="G265" i="2"/>
  <c r="F265" i="2"/>
  <c r="J264" i="2"/>
  <c r="I264" i="2"/>
  <c r="H264" i="2"/>
  <c r="G264" i="2"/>
  <c r="F264" i="2"/>
  <c r="J263" i="2"/>
  <c r="I263" i="2"/>
  <c r="H263" i="2"/>
  <c r="G263" i="2"/>
  <c r="F263" i="2"/>
  <c r="J262" i="2"/>
  <c r="I262" i="2"/>
  <c r="H262" i="2"/>
  <c r="G262" i="2"/>
  <c r="F262" i="2"/>
  <c r="J261" i="2"/>
  <c r="I261" i="2"/>
  <c r="H261" i="2"/>
  <c r="G261" i="2"/>
  <c r="F261" i="2"/>
  <c r="J260" i="2"/>
  <c r="I260" i="2"/>
  <c r="H260" i="2"/>
  <c r="G260" i="2"/>
  <c r="F260" i="2"/>
  <c r="J259" i="2"/>
  <c r="I259" i="2"/>
  <c r="H259" i="2"/>
  <c r="G259" i="2"/>
  <c r="F259" i="2"/>
  <c r="J258" i="2"/>
  <c r="I258" i="2"/>
  <c r="H258" i="2"/>
  <c r="G258" i="2"/>
  <c r="F258" i="2"/>
  <c r="J257" i="2"/>
  <c r="I257" i="2"/>
  <c r="H257" i="2"/>
  <c r="G257" i="2"/>
  <c r="F257" i="2"/>
  <c r="J256" i="2"/>
  <c r="I256" i="2"/>
  <c r="H256" i="2"/>
  <c r="G256" i="2"/>
  <c r="F256" i="2"/>
  <c r="J255" i="2"/>
  <c r="I255" i="2"/>
  <c r="H255" i="2"/>
  <c r="G255" i="2"/>
  <c r="F255" i="2"/>
  <c r="J254" i="2"/>
  <c r="I254" i="2"/>
  <c r="H254" i="2"/>
  <c r="G254" i="2"/>
  <c r="F254" i="2"/>
  <c r="J253" i="2"/>
  <c r="I253" i="2"/>
  <c r="H253" i="2"/>
  <c r="G253" i="2"/>
  <c r="F253" i="2"/>
  <c r="J252" i="2"/>
  <c r="I252" i="2"/>
  <c r="H252" i="2"/>
  <c r="G252" i="2"/>
  <c r="F252" i="2"/>
  <c r="J251" i="2"/>
  <c r="I251" i="2"/>
  <c r="H251" i="2"/>
  <c r="G251" i="2"/>
  <c r="F251" i="2"/>
  <c r="J250" i="2"/>
  <c r="I250" i="2"/>
  <c r="H250" i="2"/>
  <c r="G250" i="2"/>
  <c r="F250" i="2"/>
  <c r="J249" i="2"/>
  <c r="I249" i="2"/>
  <c r="H249" i="2"/>
  <c r="G249" i="2"/>
  <c r="F249" i="2"/>
  <c r="J248" i="2"/>
  <c r="I248" i="2"/>
  <c r="H248" i="2"/>
  <c r="G248" i="2"/>
  <c r="F248" i="2"/>
  <c r="J247" i="2"/>
  <c r="I247" i="2"/>
  <c r="H247" i="2"/>
  <c r="G247" i="2"/>
  <c r="F247" i="2"/>
  <c r="J246" i="2"/>
  <c r="I246" i="2"/>
  <c r="H246" i="2"/>
  <c r="G246" i="2"/>
  <c r="F246" i="2"/>
  <c r="J245" i="2"/>
  <c r="I245" i="2"/>
  <c r="H245" i="2"/>
  <c r="G245" i="2"/>
  <c r="F245" i="2"/>
  <c r="J244" i="2"/>
  <c r="I244" i="2"/>
  <c r="H244" i="2"/>
  <c r="G244" i="2"/>
  <c r="F244" i="2"/>
  <c r="J243" i="2"/>
  <c r="I243" i="2"/>
  <c r="H243" i="2"/>
  <c r="G243" i="2"/>
  <c r="F243" i="2"/>
  <c r="J242" i="2"/>
  <c r="I242" i="2"/>
  <c r="H242" i="2"/>
  <c r="G242" i="2"/>
  <c r="F242" i="2"/>
  <c r="J241" i="2"/>
  <c r="I241" i="2"/>
  <c r="H241" i="2"/>
  <c r="G241" i="2"/>
  <c r="F241" i="2"/>
  <c r="J240" i="2"/>
  <c r="I240" i="2"/>
  <c r="H240" i="2"/>
  <c r="G240" i="2"/>
  <c r="F240" i="2"/>
  <c r="J239" i="2"/>
  <c r="I239" i="2"/>
  <c r="H239" i="2"/>
  <c r="G239" i="2"/>
  <c r="F239" i="2"/>
  <c r="J238" i="2"/>
  <c r="I238" i="2"/>
  <c r="H238" i="2"/>
  <c r="G238" i="2"/>
  <c r="F238" i="2"/>
  <c r="J237" i="2"/>
  <c r="I237" i="2"/>
  <c r="H237" i="2"/>
  <c r="G237" i="2"/>
  <c r="F237" i="2"/>
  <c r="J236" i="2"/>
  <c r="I236" i="2"/>
  <c r="H236" i="2"/>
  <c r="G236" i="2"/>
  <c r="F236" i="2"/>
  <c r="J235" i="2"/>
  <c r="I235" i="2"/>
  <c r="H235" i="2"/>
  <c r="G235" i="2"/>
  <c r="F235" i="2"/>
  <c r="J234" i="2"/>
  <c r="I234" i="2"/>
  <c r="H234" i="2"/>
  <c r="G234" i="2"/>
  <c r="F234" i="2"/>
  <c r="J233" i="2"/>
  <c r="I233" i="2"/>
  <c r="H233" i="2"/>
  <c r="G233" i="2"/>
  <c r="F233" i="2"/>
  <c r="J232" i="2"/>
  <c r="I232" i="2"/>
  <c r="H232" i="2"/>
  <c r="G232" i="2"/>
  <c r="F232" i="2"/>
  <c r="J231" i="2"/>
  <c r="I231" i="2"/>
  <c r="H231" i="2"/>
  <c r="G231" i="2"/>
  <c r="F231" i="2"/>
  <c r="J230" i="2"/>
  <c r="I230" i="2"/>
  <c r="H230" i="2"/>
  <c r="G230" i="2"/>
  <c r="F230" i="2"/>
  <c r="J229" i="2"/>
  <c r="I229" i="2"/>
  <c r="H229" i="2"/>
  <c r="G229" i="2"/>
  <c r="F229" i="2"/>
  <c r="J228" i="2"/>
  <c r="I228" i="2"/>
  <c r="H228" i="2"/>
  <c r="G228" i="2"/>
  <c r="F228" i="2"/>
  <c r="J227" i="2"/>
  <c r="I227" i="2"/>
  <c r="H227" i="2"/>
  <c r="G227" i="2"/>
  <c r="F227" i="2"/>
  <c r="J226" i="2"/>
  <c r="I226" i="2"/>
  <c r="H226" i="2"/>
  <c r="G226" i="2"/>
  <c r="F226" i="2"/>
  <c r="J225" i="2"/>
  <c r="I225" i="2"/>
  <c r="H225" i="2"/>
  <c r="G225" i="2"/>
  <c r="F225" i="2"/>
  <c r="J224" i="2"/>
  <c r="I224" i="2"/>
  <c r="H224" i="2"/>
  <c r="G224" i="2"/>
  <c r="F224" i="2"/>
  <c r="J223" i="2"/>
  <c r="I223" i="2"/>
  <c r="H223" i="2"/>
  <c r="G223" i="2"/>
  <c r="F223" i="2"/>
  <c r="J222" i="2"/>
  <c r="I222" i="2"/>
  <c r="H222" i="2"/>
  <c r="G222" i="2"/>
  <c r="F222" i="2"/>
  <c r="J221" i="2"/>
  <c r="I221" i="2"/>
  <c r="H221" i="2"/>
  <c r="G221" i="2"/>
  <c r="F221" i="2"/>
  <c r="J220" i="2"/>
  <c r="I220" i="2"/>
  <c r="H220" i="2"/>
  <c r="G220" i="2"/>
  <c r="F220" i="2"/>
  <c r="J219" i="2"/>
  <c r="I219" i="2"/>
  <c r="H219" i="2"/>
  <c r="G219" i="2"/>
  <c r="F219" i="2"/>
  <c r="J218" i="2"/>
  <c r="I218" i="2"/>
  <c r="H218" i="2"/>
  <c r="G218" i="2"/>
  <c r="F218" i="2"/>
  <c r="J217" i="2"/>
  <c r="I217" i="2"/>
  <c r="H217" i="2"/>
  <c r="G217" i="2"/>
  <c r="F217" i="2"/>
  <c r="J216" i="2"/>
  <c r="I216" i="2"/>
  <c r="H216" i="2"/>
  <c r="G216" i="2"/>
  <c r="F216" i="2"/>
  <c r="J215" i="2"/>
  <c r="I215" i="2"/>
  <c r="H215" i="2"/>
  <c r="G215" i="2"/>
  <c r="F215" i="2"/>
  <c r="J214" i="2"/>
  <c r="I214" i="2"/>
  <c r="H214" i="2"/>
  <c r="G214" i="2"/>
  <c r="F214" i="2"/>
  <c r="J213" i="2"/>
  <c r="I213" i="2"/>
  <c r="H213" i="2"/>
  <c r="G213" i="2"/>
  <c r="F213" i="2"/>
  <c r="J212" i="2"/>
  <c r="I212" i="2"/>
  <c r="H212" i="2"/>
  <c r="G212" i="2"/>
  <c r="F212" i="2"/>
  <c r="J211" i="2"/>
  <c r="I211" i="2"/>
  <c r="H211" i="2"/>
  <c r="G211" i="2"/>
  <c r="F211" i="2"/>
  <c r="J210" i="2"/>
  <c r="I210" i="2"/>
  <c r="H210" i="2"/>
  <c r="G210" i="2"/>
  <c r="F210" i="2"/>
  <c r="J209" i="2"/>
  <c r="I209" i="2"/>
  <c r="H209" i="2"/>
  <c r="G209" i="2"/>
  <c r="F209" i="2"/>
  <c r="J208" i="2"/>
  <c r="I208" i="2"/>
  <c r="H208" i="2"/>
  <c r="G208" i="2"/>
  <c r="F208" i="2"/>
  <c r="J207" i="2"/>
  <c r="I207" i="2"/>
  <c r="H207" i="2"/>
  <c r="G207" i="2"/>
  <c r="F207" i="2"/>
  <c r="J206" i="2"/>
  <c r="I206" i="2"/>
  <c r="H206" i="2"/>
  <c r="G206" i="2"/>
  <c r="F206" i="2"/>
  <c r="J205" i="2"/>
  <c r="I205" i="2"/>
  <c r="H205" i="2"/>
  <c r="G205" i="2"/>
  <c r="F205" i="2"/>
  <c r="J204" i="2"/>
  <c r="I204" i="2"/>
  <c r="H204" i="2"/>
  <c r="G204" i="2"/>
  <c r="F204" i="2"/>
  <c r="J203" i="2"/>
  <c r="I203" i="2"/>
  <c r="H203" i="2"/>
  <c r="G203" i="2"/>
  <c r="F203" i="2"/>
  <c r="J202" i="2"/>
  <c r="I202" i="2"/>
  <c r="H202" i="2"/>
  <c r="G202" i="2"/>
  <c r="F202" i="2"/>
  <c r="J201" i="2"/>
  <c r="I201" i="2"/>
  <c r="H201" i="2"/>
  <c r="G201" i="2"/>
  <c r="F201" i="2"/>
  <c r="J200" i="2"/>
  <c r="I200" i="2"/>
  <c r="H200" i="2"/>
  <c r="G200" i="2"/>
  <c r="F200" i="2"/>
  <c r="J199" i="2"/>
  <c r="I199" i="2"/>
  <c r="H199" i="2"/>
  <c r="G199" i="2"/>
  <c r="F199" i="2"/>
  <c r="J198" i="2"/>
  <c r="I198" i="2"/>
  <c r="H198" i="2"/>
  <c r="G198" i="2"/>
  <c r="F198" i="2"/>
  <c r="J197" i="2"/>
  <c r="I197" i="2"/>
  <c r="H197" i="2"/>
  <c r="G197" i="2"/>
  <c r="F197" i="2"/>
  <c r="J196" i="2"/>
  <c r="I196" i="2"/>
  <c r="H196" i="2"/>
  <c r="G196" i="2"/>
  <c r="F196" i="2"/>
  <c r="J195" i="2"/>
  <c r="I195" i="2"/>
  <c r="H195" i="2"/>
  <c r="G195" i="2"/>
  <c r="F195" i="2"/>
  <c r="J194" i="2"/>
  <c r="I194" i="2"/>
  <c r="H194" i="2"/>
  <c r="G194" i="2"/>
  <c r="F194" i="2"/>
  <c r="J193" i="2"/>
  <c r="I193" i="2"/>
  <c r="H193" i="2"/>
  <c r="G193" i="2"/>
  <c r="F193" i="2"/>
  <c r="J192" i="2"/>
  <c r="I192" i="2"/>
  <c r="H192" i="2"/>
  <c r="G192" i="2"/>
  <c r="F192" i="2"/>
  <c r="J191" i="2"/>
  <c r="I191" i="2"/>
  <c r="H191" i="2"/>
  <c r="G191" i="2"/>
  <c r="F191" i="2"/>
  <c r="J190" i="2"/>
  <c r="I190" i="2"/>
  <c r="H190" i="2"/>
  <c r="G190" i="2"/>
  <c r="F190" i="2"/>
  <c r="J189" i="2"/>
  <c r="I189" i="2"/>
  <c r="H189" i="2"/>
  <c r="G189" i="2"/>
  <c r="F189" i="2"/>
  <c r="J188" i="2"/>
  <c r="I188" i="2"/>
  <c r="H188" i="2"/>
  <c r="G188" i="2"/>
  <c r="F188" i="2"/>
  <c r="J187" i="2"/>
  <c r="I187" i="2"/>
  <c r="H187" i="2"/>
  <c r="G187" i="2"/>
  <c r="F187" i="2"/>
  <c r="J186" i="2"/>
  <c r="I186" i="2"/>
  <c r="H186" i="2"/>
  <c r="G186" i="2"/>
  <c r="F186" i="2"/>
  <c r="J185" i="2"/>
  <c r="I185" i="2"/>
  <c r="H185" i="2"/>
  <c r="G185" i="2"/>
  <c r="F185" i="2"/>
  <c r="J184" i="2"/>
  <c r="I184" i="2"/>
  <c r="H184" i="2"/>
  <c r="G184" i="2"/>
  <c r="F184" i="2"/>
  <c r="J183" i="2"/>
  <c r="I183" i="2"/>
  <c r="H183" i="2"/>
  <c r="G183" i="2"/>
  <c r="F183" i="2"/>
  <c r="J182" i="2"/>
  <c r="I182" i="2"/>
  <c r="H182" i="2"/>
  <c r="G182" i="2"/>
  <c r="F182" i="2"/>
  <c r="J181" i="2"/>
  <c r="I181" i="2"/>
  <c r="H181" i="2"/>
  <c r="G181" i="2"/>
  <c r="F181" i="2"/>
  <c r="J180" i="2"/>
  <c r="I180" i="2"/>
  <c r="H180" i="2"/>
  <c r="G180" i="2"/>
  <c r="F180" i="2"/>
  <c r="J179" i="2"/>
  <c r="I179" i="2"/>
  <c r="H179" i="2"/>
  <c r="G179" i="2"/>
  <c r="F179" i="2"/>
  <c r="J178" i="2"/>
  <c r="I178" i="2"/>
  <c r="H178" i="2"/>
  <c r="G178" i="2"/>
  <c r="F178" i="2"/>
  <c r="J177" i="2"/>
  <c r="I177" i="2"/>
  <c r="H177" i="2"/>
  <c r="G177" i="2"/>
  <c r="F177" i="2"/>
  <c r="J176" i="2"/>
  <c r="I176" i="2"/>
  <c r="H176" i="2"/>
  <c r="G176" i="2"/>
  <c r="F176" i="2"/>
  <c r="J175" i="2"/>
  <c r="I175" i="2"/>
  <c r="H175" i="2"/>
  <c r="G175" i="2"/>
  <c r="F175" i="2"/>
  <c r="J174" i="2"/>
  <c r="I174" i="2"/>
  <c r="H174" i="2"/>
  <c r="G174" i="2"/>
  <c r="F174" i="2"/>
  <c r="J173" i="2"/>
  <c r="I173" i="2"/>
  <c r="H173" i="2"/>
  <c r="G173" i="2"/>
  <c r="F173" i="2"/>
  <c r="J172" i="2"/>
  <c r="I172" i="2"/>
  <c r="H172" i="2"/>
  <c r="G172" i="2"/>
  <c r="F172" i="2"/>
  <c r="J171" i="2"/>
  <c r="I171" i="2"/>
  <c r="H171" i="2"/>
  <c r="G171" i="2"/>
  <c r="F171" i="2"/>
  <c r="J170" i="2"/>
  <c r="I170" i="2"/>
  <c r="H170" i="2"/>
  <c r="G170" i="2"/>
  <c r="F170" i="2"/>
  <c r="J169" i="2"/>
  <c r="I169" i="2"/>
  <c r="H169" i="2"/>
  <c r="G169" i="2"/>
  <c r="F169" i="2"/>
  <c r="J168" i="2"/>
  <c r="I168" i="2"/>
  <c r="H168" i="2"/>
  <c r="G168" i="2"/>
  <c r="F168" i="2"/>
  <c r="J167" i="2"/>
  <c r="I167" i="2"/>
  <c r="H167" i="2"/>
  <c r="G167" i="2"/>
  <c r="F167" i="2"/>
  <c r="J166" i="2"/>
  <c r="I166" i="2"/>
  <c r="H166" i="2"/>
  <c r="G166" i="2"/>
  <c r="F166" i="2"/>
  <c r="J165" i="2"/>
  <c r="I165" i="2"/>
  <c r="H165" i="2"/>
  <c r="G165" i="2"/>
  <c r="F165" i="2"/>
  <c r="J164" i="2"/>
  <c r="I164" i="2"/>
  <c r="H164" i="2"/>
  <c r="G164" i="2"/>
  <c r="F164" i="2"/>
  <c r="J163" i="2"/>
  <c r="I163" i="2"/>
  <c r="H163" i="2"/>
  <c r="G163" i="2"/>
  <c r="F163" i="2"/>
  <c r="J162" i="2"/>
  <c r="I162" i="2"/>
  <c r="H162" i="2"/>
  <c r="G162" i="2"/>
  <c r="F162" i="2"/>
  <c r="J161" i="2"/>
  <c r="I161" i="2"/>
  <c r="H161" i="2"/>
  <c r="G161" i="2"/>
  <c r="F161" i="2"/>
  <c r="J160" i="2"/>
  <c r="I160" i="2"/>
  <c r="H160" i="2"/>
  <c r="G160" i="2"/>
  <c r="F160" i="2"/>
  <c r="J159" i="2"/>
  <c r="I159" i="2"/>
  <c r="H159" i="2"/>
  <c r="G159" i="2"/>
  <c r="F159" i="2"/>
  <c r="J158" i="2"/>
  <c r="I158" i="2"/>
  <c r="H158" i="2"/>
  <c r="G158" i="2"/>
  <c r="F158" i="2"/>
  <c r="J157" i="2"/>
  <c r="I157" i="2"/>
  <c r="H157" i="2"/>
  <c r="G157" i="2"/>
  <c r="F157" i="2"/>
  <c r="J156" i="2"/>
  <c r="I156" i="2"/>
  <c r="H156" i="2"/>
  <c r="G156" i="2"/>
  <c r="F156" i="2"/>
  <c r="J155" i="2"/>
  <c r="I155" i="2"/>
  <c r="H155" i="2"/>
  <c r="G155" i="2"/>
  <c r="F155" i="2"/>
  <c r="J154" i="2"/>
  <c r="I154" i="2"/>
  <c r="H154" i="2"/>
  <c r="G154" i="2"/>
  <c r="F154" i="2"/>
  <c r="J153" i="2"/>
  <c r="I153" i="2"/>
  <c r="H153" i="2"/>
  <c r="G153" i="2"/>
  <c r="F153" i="2"/>
  <c r="J152" i="2"/>
  <c r="I152" i="2"/>
  <c r="H152" i="2"/>
  <c r="G152" i="2"/>
  <c r="F152" i="2"/>
  <c r="J151" i="2"/>
  <c r="I151" i="2"/>
  <c r="H151" i="2"/>
  <c r="G151" i="2"/>
  <c r="F151" i="2"/>
  <c r="J150" i="2"/>
  <c r="I150" i="2"/>
  <c r="H150" i="2"/>
  <c r="G150" i="2"/>
  <c r="F150" i="2"/>
  <c r="J149" i="2"/>
  <c r="I149" i="2"/>
  <c r="H149" i="2"/>
  <c r="G149" i="2"/>
  <c r="F149" i="2"/>
  <c r="J148" i="2"/>
  <c r="I148" i="2"/>
  <c r="H148" i="2"/>
  <c r="G148" i="2"/>
  <c r="F148" i="2"/>
  <c r="J147" i="2"/>
  <c r="I147" i="2"/>
  <c r="H147" i="2"/>
  <c r="G147" i="2"/>
  <c r="F147" i="2"/>
  <c r="J146" i="2"/>
  <c r="I146" i="2"/>
  <c r="H146" i="2"/>
  <c r="G146" i="2"/>
  <c r="F146" i="2"/>
  <c r="J145" i="2"/>
  <c r="I145" i="2"/>
  <c r="H145" i="2"/>
  <c r="G145" i="2"/>
  <c r="F145" i="2"/>
  <c r="J144" i="2"/>
  <c r="I144" i="2"/>
  <c r="H144" i="2"/>
  <c r="G144" i="2"/>
  <c r="F144" i="2"/>
  <c r="J143" i="2"/>
  <c r="I143" i="2"/>
  <c r="H143" i="2"/>
  <c r="G143" i="2"/>
  <c r="F143" i="2"/>
  <c r="J142" i="2"/>
  <c r="I142" i="2"/>
  <c r="H142" i="2"/>
  <c r="G142" i="2"/>
  <c r="F142" i="2"/>
  <c r="J141" i="2"/>
  <c r="I141" i="2"/>
  <c r="H141" i="2"/>
  <c r="G141" i="2"/>
  <c r="F141" i="2"/>
  <c r="J140" i="2"/>
  <c r="I140" i="2"/>
  <c r="H140" i="2"/>
  <c r="G140" i="2"/>
  <c r="F140" i="2"/>
  <c r="J139" i="2"/>
  <c r="I139" i="2"/>
  <c r="H139" i="2"/>
  <c r="G139" i="2"/>
  <c r="F139" i="2"/>
  <c r="J138" i="2"/>
  <c r="I138" i="2"/>
  <c r="H138" i="2"/>
  <c r="G138" i="2"/>
  <c r="F138" i="2"/>
  <c r="J137" i="2"/>
  <c r="I137" i="2"/>
  <c r="H137" i="2"/>
  <c r="G137" i="2"/>
  <c r="F137" i="2"/>
  <c r="J136" i="2"/>
  <c r="I136" i="2"/>
  <c r="H136" i="2"/>
  <c r="G136" i="2"/>
  <c r="F136" i="2"/>
  <c r="J135" i="2"/>
  <c r="I135" i="2"/>
  <c r="H135" i="2"/>
  <c r="G135" i="2"/>
  <c r="F135" i="2"/>
  <c r="J134" i="2"/>
  <c r="I134" i="2"/>
  <c r="H134" i="2"/>
  <c r="G134" i="2"/>
  <c r="F134" i="2"/>
  <c r="J133" i="2"/>
  <c r="I133" i="2"/>
  <c r="H133" i="2"/>
  <c r="G133" i="2"/>
  <c r="F133" i="2"/>
  <c r="J132" i="2"/>
  <c r="I132" i="2"/>
  <c r="H132" i="2"/>
  <c r="G132" i="2"/>
  <c r="F132" i="2"/>
  <c r="J131" i="2"/>
  <c r="I131" i="2"/>
  <c r="H131" i="2"/>
  <c r="G131" i="2"/>
  <c r="F131" i="2"/>
  <c r="J130" i="2"/>
  <c r="I130" i="2"/>
  <c r="H130" i="2"/>
  <c r="G130" i="2"/>
  <c r="F130" i="2"/>
  <c r="J129" i="2"/>
  <c r="I129" i="2"/>
  <c r="H129" i="2"/>
  <c r="G129" i="2"/>
  <c r="F129" i="2"/>
  <c r="J128" i="2"/>
  <c r="I128" i="2"/>
  <c r="H128" i="2"/>
  <c r="G128" i="2"/>
  <c r="F128" i="2"/>
  <c r="J127" i="2"/>
  <c r="I127" i="2"/>
  <c r="H127" i="2"/>
  <c r="G127" i="2"/>
  <c r="F127" i="2"/>
  <c r="J126" i="2"/>
  <c r="I126" i="2"/>
  <c r="H126" i="2"/>
  <c r="G126" i="2"/>
  <c r="F126" i="2"/>
  <c r="J125" i="2"/>
  <c r="I125" i="2"/>
  <c r="H125" i="2"/>
  <c r="G125" i="2"/>
  <c r="F125" i="2"/>
  <c r="J124" i="2"/>
  <c r="I124" i="2"/>
  <c r="H124" i="2"/>
  <c r="G124" i="2"/>
  <c r="F124" i="2"/>
  <c r="J123" i="2"/>
  <c r="I123" i="2"/>
  <c r="H123" i="2"/>
  <c r="G123" i="2"/>
  <c r="F123" i="2"/>
  <c r="J122" i="2"/>
  <c r="I122" i="2"/>
  <c r="H122" i="2"/>
  <c r="G122" i="2"/>
  <c r="F122" i="2"/>
  <c r="J121" i="2"/>
  <c r="I121" i="2"/>
  <c r="H121" i="2"/>
  <c r="G121" i="2"/>
  <c r="F121" i="2"/>
  <c r="J120" i="2"/>
  <c r="I120" i="2"/>
  <c r="H120" i="2"/>
  <c r="G120" i="2"/>
  <c r="F120" i="2"/>
  <c r="J119" i="2"/>
  <c r="I119" i="2"/>
  <c r="H119" i="2"/>
  <c r="G119" i="2"/>
  <c r="F119" i="2"/>
  <c r="J118" i="2"/>
  <c r="I118" i="2"/>
  <c r="H118" i="2"/>
  <c r="G118" i="2"/>
  <c r="F118" i="2"/>
  <c r="J117" i="2"/>
  <c r="I117" i="2"/>
  <c r="H117" i="2"/>
  <c r="G117" i="2"/>
  <c r="F117" i="2"/>
  <c r="J116" i="2"/>
  <c r="I116" i="2"/>
  <c r="H116" i="2"/>
  <c r="G116" i="2"/>
  <c r="F116" i="2"/>
  <c r="J115" i="2"/>
  <c r="I115" i="2"/>
  <c r="H115" i="2"/>
  <c r="G115" i="2"/>
  <c r="F115" i="2"/>
  <c r="J114" i="2"/>
  <c r="I114" i="2"/>
  <c r="H114" i="2"/>
  <c r="G114" i="2"/>
  <c r="F114" i="2"/>
  <c r="J113" i="2"/>
  <c r="I113" i="2"/>
  <c r="H113" i="2"/>
  <c r="G113" i="2"/>
  <c r="F113" i="2"/>
  <c r="J112" i="2"/>
  <c r="I112" i="2"/>
  <c r="H112" i="2"/>
  <c r="G112" i="2"/>
  <c r="F112" i="2"/>
  <c r="J111" i="2"/>
  <c r="I111" i="2"/>
  <c r="H111" i="2"/>
  <c r="G111" i="2"/>
  <c r="F111" i="2"/>
  <c r="J110" i="2"/>
  <c r="I110" i="2"/>
  <c r="H110" i="2"/>
  <c r="G110" i="2"/>
  <c r="F110" i="2"/>
  <c r="J109" i="2"/>
  <c r="I109" i="2"/>
  <c r="H109" i="2"/>
  <c r="G109" i="2"/>
  <c r="F109" i="2"/>
  <c r="J108" i="2"/>
  <c r="I108" i="2"/>
  <c r="H108" i="2"/>
  <c r="G108" i="2"/>
  <c r="F108" i="2"/>
  <c r="J107" i="2"/>
  <c r="I107" i="2"/>
  <c r="H107" i="2"/>
  <c r="G107" i="2"/>
  <c r="F107" i="2"/>
  <c r="J106" i="2"/>
  <c r="I106" i="2"/>
  <c r="H106" i="2"/>
  <c r="G106" i="2"/>
  <c r="F106" i="2"/>
  <c r="J105" i="2"/>
  <c r="I105" i="2"/>
  <c r="H105" i="2"/>
  <c r="G105" i="2"/>
  <c r="F105" i="2"/>
  <c r="J104" i="2"/>
  <c r="I104" i="2"/>
  <c r="H104" i="2"/>
  <c r="G104" i="2"/>
  <c r="F104" i="2"/>
  <c r="J103" i="2"/>
  <c r="I103" i="2"/>
  <c r="H103" i="2"/>
  <c r="G103" i="2"/>
  <c r="F103" i="2"/>
  <c r="J102" i="2"/>
  <c r="I102" i="2"/>
  <c r="H102" i="2"/>
  <c r="G102" i="2"/>
  <c r="F102" i="2"/>
  <c r="J101" i="2"/>
  <c r="I101" i="2"/>
  <c r="H101" i="2"/>
  <c r="G101" i="2"/>
  <c r="F101" i="2"/>
  <c r="J100" i="2"/>
  <c r="I100" i="2"/>
  <c r="H100" i="2"/>
  <c r="G100" i="2"/>
  <c r="F100" i="2"/>
  <c r="J99" i="2"/>
  <c r="I99" i="2"/>
  <c r="H99" i="2"/>
  <c r="G99" i="2"/>
  <c r="F99" i="2"/>
  <c r="J98" i="2"/>
  <c r="I98" i="2"/>
  <c r="H98" i="2"/>
  <c r="G98" i="2"/>
  <c r="F98" i="2"/>
  <c r="J97" i="2"/>
  <c r="I97" i="2"/>
  <c r="H97" i="2"/>
  <c r="G97" i="2"/>
  <c r="F97" i="2"/>
  <c r="J96" i="2"/>
  <c r="I96" i="2"/>
  <c r="H96" i="2"/>
  <c r="G96" i="2"/>
  <c r="F96" i="2"/>
  <c r="J95" i="2"/>
  <c r="I95" i="2"/>
  <c r="H95" i="2"/>
  <c r="G95" i="2"/>
  <c r="F95" i="2"/>
  <c r="J94" i="2"/>
  <c r="I94" i="2"/>
  <c r="H94" i="2"/>
  <c r="G94" i="2"/>
  <c r="F94" i="2"/>
  <c r="J93" i="2"/>
  <c r="I93" i="2"/>
  <c r="H93" i="2"/>
  <c r="G93" i="2"/>
  <c r="F93" i="2"/>
  <c r="J92" i="2"/>
  <c r="I92" i="2"/>
  <c r="H92" i="2"/>
  <c r="G92" i="2"/>
  <c r="F92" i="2"/>
  <c r="J91" i="2"/>
  <c r="I91" i="2"/>
  <c r="H91" i="2"/>
  <c r="G91" i="2"/>
  <c r="F91" i="2"/>
  <c r="J90" i="2"/>
  <c r="I90" i="2"/>
  <c r="H90" i="2"/>
  <c r="G90" i="2"/>
  <c r="F90" i="2"/>
  <c r="J89" i="2"/>
  <c r="I89" i="2"/>
  <c r="H89" i="2"/>
  <c r="G89" i="2"/>
  <c r="F89" i="2"/>
  <c r="J88" i="2"/>
  <c r="I88" i="2"/>
  <c r="H88" i="2"/>
  <c r="G88" i="2"/>
  <c r="F88" i="2"/>
  <c r="J87" i="2"/>
  <c r="I87" i="2"/>
  <c r="H87" i="2"/>
  <c r="G87" i="2"/>
  <c r="F87" i="2"/>
  <c r="J86" i="2"/>
  <c r="I86" i="2"/>
  <c r="H86" i="2"/>
  <c r="G86" i="2"/>
  <c r="F86" i="2"/>
  <c r="J85" i="2"/>
  <c r="I85" i="2"/>
  <c r="H85" i="2"/>
  <c r="G85" i="2"/>
  <c r="F85" i="2"/>
  <c r="J84" i="2"/>
  <c r="I84" i="2"/>
  <c r="H84" i="2"/>
  <c r="G84" i="2"/>
  <c r="F84" i="2"/>
  <c r="J83" i="2"/>
  <c r="I83" i="2"/>
  <c r="H83" i="2"/>
  <c r="G83" i="2"/>
  <c r="F83" i="2"/>
  <c r="J82" i="2"/>
  <c r="I82" i="2"/>
  <c r="H82" i="2"/>
  <c r="G82" i="2"/>
  <c r="F82" i="2"/>
  <c r="J81" i="2"/>
  <c r="I81" i="2"/>
  <c r="H81" i="2"/>
  <c r="G81" i="2"/>
  <c r="F81" i="2"/>
  <c r="J80" i="2"/>
  <c r="I80" i="2"/>
  <c r="H80" i="2"/>
  <c r="G80" i="2"/>
  <c r="F80" i="2"/>
  <c r="J79" i="2"/>
  <c r="I79" i="2"/>
  <c r="H79" i="2"/>
  <c r="G79" i="2"/>
  <c r="F79" i="2"/>
  <c r="J78" i="2"/>
  <c r="I78" i="2"/>
  <c r="H78" i="2"/>
  <c r="G78" i="2"/>
  <c r="F78" i="2"/>
  <c r="J77" i="2"/>
  <c r="I77" i="2"/>
  <c r="H77" i="2"/>
  <c r="G77" i="2"/>
  <c r="F77" i="2"/>
  <c r="J76" i="2"/>
  <c r="I76" i="2"/>
  <c r="H76" i="2"/>
  <c r="G76" i="2"/>
  <c r="F76" i="2"/>
  <c r="J75" i="2"/>
  <c r="I75" i="2"/>
  <c r="H75" i="2"/>
  <c r="G75" i="2"/>
  <c r="F75" i="2"/>
  <c r="J74" i="2"/>
  <c r="I74" i="2"/>
  <c r="H74" i="2"/>
  <c r="G74" i="2"/>
  <c r="F74" i="2"/>
  <c r="J73" i="2"/>
  <c r="I73" i="2"/>
  <c r="H73" i="2"/>
  <c r="G73" i="2"/>
  <c r="F73" i="2"/>
  <c r="J72" i="2"/>
  <c r="I72" i="2"/>
  <c r="H72" i="2"/>
  <c r="G72" i="2"/>
  <c r="F72" i="2"/>
  <c r="J71" i="2"/>
  <c r="I71" i="2"/>
  <c r="H71" i="2"/>
  <c r="G71" i="2"/>
  <c r="F71" i="2"/>
  <c r="J70" i="2"/>
  <c r="I70" i="2"/>
  <c r="H70" i="2"/>
  <c r="G70" i="2"/>
  <c r="F70" i="2"/>
  <c r="J69" i="2"/>
  <c r="I69" i="2"/>
  <c r="H69" i="2"/>
  <c r="G69" i="2"/>
  <c r="F69" i="2"/>
  <c r="J68" i="2"/>
  <c r="I68" i="2"/>
  <c r="H68" i="2"/>
  <c r="G68" i="2"/>
  <c r="F68" i="2"/>
  <c r="J67" i="2"/>
  <c r="I67" i="2"/>
  <c r="H67" i="2"/>
  <c r="G67" i="2"/>
  <c r="F67" i="2"/>
  <c r="J66" i="2"/>
  <c r="I66" i="2"/>
  <c r="H66" i="2"/>
  <c r="G66" i="2"/>
  <c r="F66" i="2"/>
  <c r="J65" i="2"/>
  <c r="I65" i="2"/>
  <c r="H65" i="2"/>
  <c r="G65" i="2"/>
  <c r="F65" i="2"/>
  <c r="J64" i="2"/>
  <c r="I64" i="2"/>
  <c r="H64" i="2"/>
  <c r="G64" i="2"/>
  <c r="F64" i="2"/>
  <c r="J63" i="2"/>
  <c r="I63" i="2"/>
  <c r="H63" i="2"/>
  <c r="G63" i="2"/>
  <c r="F63" i="2"/>
  <c r="J62" i="2"/>
  <c r="I62" i="2"/>
  <c r="H62" i="2"/>
  <c r="G62" i="2"/>
  <c r="F62" i="2"/>
  <c r="J61" i="2"/>
  <c r="I61" i="2"/>
  <c r="H61" i="2"/>
  <c r="G61" i="2"/>
  <c r="F61" i="2"/>
  <c r="J60" i="2"/>
  <c r="I60" i="2"/>
  <c r="H60" i="2"/>
  <c r="G60" i="2"/>
  <c r="F60" i="2"/>
  <c r="J59" i="2"/>
  <c r="I59" i="2"/>
  <c r="H59" i="2"/>
  <c r="G59" i="2"/>
  <c r="F59" i="2"/>
  <c r="J58" i="2"/>
  <c r="I58" i="2"/>
  <c r="H58" i="2"/>
  <c r="G58" i="2"/>
  <c r="F58" i="2"/>
  <c r="J57" i="2"/>
  <c r="I57" i="2"/>
  <c r="H57" i="2"/>
  <c r="G57" i="2"/>
  <c r="F57" i="2"/>
  <c r="J56" i="2"/>
  <c r="I56" i="2"/>
  <c r="H56" i="2"/>
  <c r="G56" i="2"/>
  <c r="F56" i="2"/>
  <c r="J55" i="2"/>
  <c r="I55" i="2"/>
  <c r="H55" i="2"/>
  <c r="G55" i="2"/>
  <c r="F55" i="2"/>
  <c r="J54" i="2"/>
  <c r="I54" i="2"/>
  <c r="H54" i="2"/>
  <c r="G54" i="2"/>
  <c r="F54" i="2"/>
  <c r="J53" i="2"/>
  <c r="I53" i="2"/>
  <c r="H53" i="2"/>
  <c r="G53" i="2"/>
  <c r="F53" i="2"/>
  <c r="J52" i="2"/>
  <c r="I52" i="2"/>
  <c r="H52" i="2"/>
  <c r="G52" i="2"/>
  <c r="F52" i="2"/>
  <c r="J51" i="2"/>
  <c r="I51" i="2"/>
  <c r="H51" i="2"/>
  <c r="G51" i="2"/>
  <c r="F51" i="2"/>
  <c r="J50" i="2"/>
  <c r="I50" i="2"/>
  <c r="H50" i="2"/>
  <c r="G50" i="2"/>
  <c r="F50" i="2"/>
  <c r="J49" i="2"/>
  <c r="I49" i="2"/>
  <c r="H49" i="2"/>
  <c r="G49" i="2"/>
  <c r="F49" i="2"/>
  <c r="J48" i="2"/>
  <c r="I48" i="2"/>
  <c r="H48" i="2"/>
  <c r="G48" i="2"/>
  <c r="F48" i="2"/>
  <c r="J47" i="2"/>
  <c r="I47" i="2"/>
  <c r="H47" i="2"/>
  <c r="G47" i="2"/>
  <c r="F47" i="2"/>
  <c r="J46" i="2"/>
  <c r="I46" i="2"/>
  <c r="H46" i="2"/>
  <c r="G46" i="2"/>
  <c r="F46" i="2"/>
  <c r="J45" i="2"/>
  <c r="I45" i="2"/>
  <c r="H45" i="2"/>
  <c r="G45" i="2"/>
  <c r="F45" i="2"/>
  <c r="J44" i="2"/>
  <c r="I44" i="2"/>
  <c r="H44" i="2"/>
  <c r="G44" i="2"/>
  <c r="F44" i="2"/>
  <c r="J43" i="2"/>
  <c r="I43" i="2"/>
  <c r="H43" i="2"/>
  <c r="G43" i="2"/>
  <c r="F43" i="2"/>
  <c r="J42" i="2"/>
  <c r="I42" i="2"/>
  <c r="H42" i="2"/>
  <c r="G42" i="2"/>
  <c r="F42" i="2"/>
  <c r="J41" i="2"/>
  <c r="I41" i="2"/>
  <c r="H41" i="2"/>
  <c r="G41" i="2"/>
  <c r="F41" i="2"/>
  <c r="J40" i="2"/>
  <c r="I40" i="2"/>
  <c r="H40" i="2"/>
  <c r="G40" i="2"/>
  <c r="F40" i="2"/>
  <c r="J39" i="2"/>
  <c r="I39" i="2"/>
  <c r="H39" i="2"/>
  <c r="G39" i="2"/>
  <c r="F39" i="2"/>
  <c r="J38" i="2"/>
  <c r="I38" i="2"/>
  <c r="H38" i="2"/>
  <c r="G38" i="2"/>
  <c r="F38" i="2"/>
  <c r="J37" i="2"/>
  <c r="I37" i="2"/>
  <c r="H37" i="2"/>
  <c r="G37" i="2"/>
  <c r="F37" i="2"/>
  <c r="J36" i="2"/>
  <c r="I36" i="2"/>
  <c r="H36" i="2"/>
  <c r="G36" i="2"/>
  <c r="F36" i="2"/>
  <c r="J35" i="2"/>
  <c r="I35" i="2"/>
  <c r="H35" i="2"/>
  <c r="G35" i="2"/>
  <c r="F35" i="2"/>
  <c r="J34" i="2"/>
  <c r="I34" i="2"/>
  <c r="H34" i="2"/>
  <c r="G34" i="2"/>
  <c r="F34" i="2"/>
  <c r="J33" i="2"/>
  <c r="I33" i="2"/>
  <c r="H33" i="2"/>
  <c r="G33" i="2"/>
  <c r="F33" i="2"/>
  <c r="J32" i="2"/>
  <c r="I32" i="2"/>
  <c r="H32" i="2"/>
  <c r="G32" i="2"/>
  <c r="F32" i="2"/>
  <c r="J31" i="2"/>
  <c r="I31" i="2"/>
  <c r="H31" i="2"/>
  <c r="G31" i="2"/>
  <c r="F31" i="2"/>
  <c r="J30" i="2"/>
  <c r="I30" i="2"/>
  <c r="H30" i="2"/>
  <c r="G30" i="2"/>
  <c r="F30" i="2"/>
  <c r="J29" i="2"/>
  <c r="I29" i="2"/>
  <c r="H29" i="2"/>
  <c r="G29" i="2"/>
  <c r="F29" i="2"/>
  <c r="J28" i="2"/>
  <c r="I28" i="2"/>
  <c r="H28" i="2"/>
  <c r="G28" i="2"/>
  <c r="F28" i="2"/>
  <c r="J27" i="2"/>
  <c r="I27" i="2"/>
  <c r="H27" i="2"/>
  <c r="G27" i="2"/>
  <c r="F27" i="2"/>
  <c r="J26" i="2"/>
  <c r="I26" i="2"/>
  <c r="H26" i="2"/>
  <c r="G26" i="2"/>
  <c r="F26" i="2"/>
  <c r="J25" i="2"/>
  <c r="I25" i="2"/>
  <c r="H25" i="2"/>
  <c r="G25" i="2"/>
  <c r="F25" i="2"/>
  <c r="J24" i="2"/>
  <c r="I24" i="2"/>
  <c r="H24" i="2"/>
  <c r="G24" i="2"/>
  <c r="F24" i="2"/>
  <c r="J23" i="2"/>
  <c r="I23" i="2"/>
  <c r="H23" i="2"/>
  <c r="G23" i="2"/>
  <c r="F23" i="2"/>
  <c r="J22" i="2"/>
  <c r="I22" i="2"/>
  <c r="H22" i="2"/>
  <c r="G22" i="2"/>
  <c r="F22" i="2"/>
  <c r="J21" i="2"/>
  <c r="I21" i="2"/>
  <c r="H21" i="2"/>
  <c r="G21" i="2"/>
  <c r="F21" i="2"/>
  <c r="J20" i="2"/>
  <c r="I20" i="2"/>
  <c r="H20" i="2"/>
  <c r="G20" i="2"/>
  <c r="F20" i="2"/>
  <c r="J19" i="2"/>
  <c r="I19" i="2"/>
  <c r="H19" i="2"/>
  <c r="G19" i="2"/>
  <c r="F19" i="2"/>
  <c r="J18" i="2"/>
  <c r="I18" i="2"/>
  <c r="H18" i="2"/>
  <c r="G18" i="2"/>
  <c r="F18" i="2"/>
  <c r="J17" i="2"/>
  <c r="I17" i="2"/>
  <c r="H17" i="2"/>
  <c r="G17" i="2"/>
  <c r="F17" i="2"/>
  <c r="J16" i="2"/>
  <c r="I16" i="2"/>
  <c r="H16" i="2"/>
  <c r="G16" i="2"/>
  <c r="F16" i="2"/>
  <c r="J15" i="2"/>
  <c r="I15" i="2"/>
  <c r="H15" i="2"/>
  <c r="G15" i="2"/>
  <c r="F15" i="2"/>
  <c r="J14" i="2"/>
  <c r="I14" i="2"/>
  <c r="H14" i="2"/>
  <c r="G14" i="2"/>
  <c r="F14" i="2"/>
  <c r="J13" i="2"/>
  <c r="I13" i="2"/>
  <c r="H13" i="2"/>
  <c r="G13" i="2"/>
  <c r="F13" i="2"/>
  <c r="J12" i="2"/>
  <c r="I12" i="2"/>
  <c r="H12" i="2"/>
  <c r="G12" i="2"/>
  <c r="F12" i="2"/>
  <c r="J11" i="2"/>
  <c r="I11" i="2"/>
  <c r="H11" i="2"/>
  <c r="G11" i="2"/>
  <c r="F11" i="2"/>
  <c r="J10" i="2"/>
  <c r="I10" i="2"/>
  <c r="H10" i="2"/>
  <c r="G10" i="2"/>
  <c r="F10" i="2"/>
  <c r="J9" i="2"/>
  <c r="I9" i="2"/>
  <c r="H9" i="2"/>
  <c r="G9" i="2"/>
  <c r="F9" i="2"/>
  <c r="J8" i="2"/>
  <c r="I8" i="2"/>
  <c r="H8" i="2"/>
  <c r="G8" i="2"/>
  <c r="F8" i="2"/>
  <c r="J7" i="2"/>
  <c r="I7" i="2"/>
  <c r="H7" i="2"/>
  <c r="G7" i="2"/>
  <c r="F7" i="2"/>
  <c r="J6" i="2"/>
  <c r="I6" i="2"/>
  <c r="H6" i="2"/>
  <c r="G6" i="2"/>
  <c r="F6" i="2"/>
  <c r="J5" i="2"/>
  <c r="I5" i="2"/>
  <c r="H5" i="2"/>
  <c r="G5" i="2"/>
  <c r="F5" i="2"/>
  <c r="J4" i="2"/>
  <c r="I4" i="2"/>
  <c r="H4" i="2"/>
  <c r="G4" i="2"/>
  <c r="F4" i="2"/>
  <c r="J3" i="2"/>
  <c r="I3" i="2"/>
  <c r="H3" i="2"/>
  <c r="G3" i="2"/>
  <c r="F3" i="2"/>
  <c r="J2" i="2"/>
  <c r="I2" i="2"/>
  <c r="H2" i="2"/>
  <c r="G2" i="2"/>
  <c r="F2" i="2"/>
  <c r="F2" i="8" l="1"/>
  <c r="E2" i="8"/>
  <c r="F3" i="8"/>
  <c r="E3" i="8"/>
  <c r="F4" i="8"/>
  <c r="E4" i="8"/>
  <c r="F5" i="8"/>
  <c r="E5" i="8"/>
  <c r="F6" i="8"/>
  <c r="E6" i="8"/>
  <c r="F7" i="8"/>
  <c r="E7" i="8"/>
  <c r="F8" i="8"/>
  <c r="E8" i="8"/>
  <c r="F9" i="8"/>
  <c r="E9" i="8"/>
  <c r="F10" i="8"/>
  <c r="E10" i="8"/>
  <c r="F11" i="8"/>
  <c r="E11" i="8"/>
  <c r="F12" i="8"/>
  <c r="E12" i="8"/>
  <c r="F13" i="8"/>
  <c r="E1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1"/>
        </x15:connection>
      </ext>
    </extLst>
  </connection>
</connections>
</file>

<file path=xl/sharedStrings.xml><?xml version="1.0" encoding="utf-8"?>
<sst xmlns="http://schemas.openxmlformats.org/spreadsheetml/2006/main" count="1875" uniqueCount="135">
  <si>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</si>
  <si>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</si>
  <si>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</si>
  <si>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</si>
  <si>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</si>
  <si>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</si>
  <si>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</si>
  <si>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</si>
  <si>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</si>
  <si>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</si>
  <si>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</si>
  <si>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</si>
  <si>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</si>
  <si>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</si>
  <si>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</si>
  <si>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</si>
  <si>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</si>
  <si>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</si>
  <si>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</si>
  <si>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</si>
  <si>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</si>
  <si>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</si>
  <si>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</si>
  <si>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</si>
  <si>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</si>
  <si>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</si>
  <si>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</si>
  <si>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</si>
  <si>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</si>
  <si>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</si>
  <si>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</si>
  <si>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</si>
  <si>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</si>
  <si>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</si>
  <si>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</si>
  <si>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</si>
  <si>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</si>
  <si>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</si>
  <si>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</si>
  <si>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</si>
  <si>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</si>
  <si>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</si>
  <si>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</si>
  <si>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</si>
  <si>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</si>
  <si>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</si>
  <si>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</si>
  <si>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Jan</t>
  </si>
  <si>
    <t>Feb</t>
  </si>
  <si>
    <t>Mar</t>
  </si>
  <si>
    <t>Apr</t>
  </si>
  <si>
    <t>May</t>
  </si>
  <si>
    <t>Jun</t>
  </si>
  <si>
    <t>Jul</t>
  </si>
  <si>
    <t>Aug</t>
  </si>
  <si>
    <t>Sep</t>
  </si>
  <si>
    <t>Oct</t>
  </si>
  <si>
    <t>Nov</t>
  </si>
  <si>
    <t>Dec</t>
  </si>
  <si>
    <t>UNIT PRICE ($)</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</si>
  <si>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</si>
  <si>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</si>
  <si>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</si>
  <si>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</si>
  <si>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</si>
  <si>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</si>
  <si>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</si>
  <si>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</si>
  <si>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</si>
  <si>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</si>
  <si>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</si>
  <si>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</si>
  <si>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</si>
  <si>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</si>
  <si>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</si>
  <si>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</si>
  <si>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</si>
  <si>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</si>
  <si>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</si>
  <si>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</si>
  <si>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</si>
  <si>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</si>
  <si>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</si>
  <si>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</si>
  <si>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</si>
  <si>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</si>
  <si>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</si>
  <si>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</si>
  <si>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</si>
  <si>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</si>
  <si>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</si>
  <si>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</si>
  <si>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</si>
  <si>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</si>
  <si>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</si>
  <si>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</si>
  <si>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</si>
  <si>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</si>
  <si>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</si>
  <si>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</si>
  <si>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</si>
  <si>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</si>
  <si>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</si>
  <si>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</si>
  <si>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</si>
  <si>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</si>
  <si>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</si>
  <si>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Target ($)</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</si>
  <si>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</si>
  <si>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</si>
  <si>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</si>
  <si>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</si>
  <si>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</si>
  <si>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</si>
  <si>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</si>
  <si>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</si>
  <si>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</si>
  <si>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</si>
  <si>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</si>
  <si>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</si>
  <si>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</si>
  <si>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</si>
  <si>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</si>
  <si>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</si>
  <si>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</si>
  <si>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</si>
  <si>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</si>
  <si>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</si>
  <si>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</si>
  <si>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Week</t>
  </si>
  <si>
    <t>Sum of Actual Column</t>
  </si>
  <si>
    <t>Actual</t>
  </si>
  <si>
    <t>Row Labels</t>
  </si>
  <si>
    <t>Below</t>
  </si>
  <si>
    <t>Actual2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</si>
</sst>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 #,##0.00_ ;_ * \-#,##0.00_ ;_ * &quot;-&quot;??_ ;_ @_ "/>
    <numFmt numFmtId="165" formatCode="#,##0.000"/>
    <numFmt numFmtId="166" formatCode="&quot;$&quot;#,##0"/>
  </numFmts>
  <fonts count="6"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s>
  <fills count="3">
    <fill>
      <patternFill patternType="none"/>
    </fill>
    <fill>
      <patternFill patternType="gray125"/>
    </fill>
    <fill>
      <patternFill patternType="solid">
        <fgColor rgb="FFD1B2E8"/>
        <bgColor indexed="64"/>
      </patternFill>
    </fill>
  </fills>
  <borders count="2">
    <border>
      <left/>
      <right/>
      <top/>
      <bottom/>
      <diagonal/>
    </border>
    <border>
      <left/>
      <right/>
      <top/>
      <bottom style="medium">
        <color rgb="FF7030A0"/>
      </bottom>
      <diagonal/>
    </border>
  </borders>
  <cellStyleXfs count="2">
    <xf numFmtId="0" fontId="0" fillId="0" borderId="0"/>
    <xf numFmtId="164" fontId="1" fillId="0" borderId="0" applyFont="0" applyFill="0" applyBorder="0" applyAlignment="0" applyProtection="0"/>
  </cellStyleXfs>
  <cellXfs count="16">
    <xf numFmtId="0" fontId="0" fillId="0" borderId="0" xfId="0"/>
    <xf numFmtId="0" fontId="3" fillId="0" borderId="0" xfId="0" applyFont="1"/>
    <xf numFmtId="0" fontId="4" fillId="2" borderId="1" xfId="0" applyFont="1" applyFill="1" applyBorder="1" applyAlignment="1">
      <alignment horizontal="center" vertical="center"/>
    </xf>
    <xf numFmtId="14" fontId="3" fillId="0" borderId="0" xfId="0" applyNumberFormat="1" applyFont="1"/>
    <xf numFmtId="0" fontId="3" fillId="0" borderId="0" xfId="0" applyFont="1" applyAlignment="1">
      <alignment horizontal="center" vertical="center"/>
    </xf>
    <xf numFmtId="4" fontId="3" fillId="0" borderId="0" xfId="1" applyNumberFormat="1" applyFont="1" applyFill="1" applyAlignment="1">
      <alignment horizontal="right" vertical="center"/>
    </xf>
    <xf numFmtId="0" fontId="3" fillId="0" borderId="0" xfId="0" applyFont="1" applyAlignment="1">
      <alignment horizontal="center"/>
    </xf>
    <xf numFmtId="0" fontId="5" fillId="0" borderId="0" xfId="0" applyFont="1"/>
    <xf numFmtId="0" fontId="3" fillId="0" borderId="0" xfId="0" applyFont="1" applyAlignment="1">
      <alignment horizontal="left" vertical="center"/>
    </xf>
    <xf numFmtId="3" fontId="3" fillId="0" borderId="0" xfId="1" applyNumberFormat="1" applyFont="1" applyFill="1" applyAlignment="1">
      <alignment horizontal="right" vertical="center"/>
    </xf>
    <xf numFmtId="0" fontId="0" fillId="0" borderId="0" xfId="0" pivotButton="1"/>
    <xf numFmtId="0" fontId="0" fillId="0" borderId="0" xfId="0" applyAlignment="1">
      <alignment horizontal="left"/>
    </xf>
    <xf numFmtId="165" fontId="0" fillId="0" borderId="0" xfId="0" applyNumberFormat="1"/>
    <xf numFmtId="3" fontId="0" fillId="0" borderId="0" xfId="0" applyNumberFormat="1"/>
    <xf numFmtId="166" fontId="0" fillId="0" borderId="0" xfId="0" applyNumberFormat="1"/>
    <xf numFmtId="0" fontId="0" fillId="0" borderId="0" xfId="0" applyNumberFormat="1"/>
  </cellXfs>
  <cellStyles count="2">
    <cellStyle name="Comma" xfId="1" builtinId="3"/>
    <cellStyle name="Normal" xfId="0" builtinId="0"/>
  </cellStyles>
  <dxfs count="51">
    <dxf>
      <numFmt numFmtId="166" formatCode="&quot;$&quot;#,##0"/>
    </dxf>
    <dxf>
      <numFmt numFmtId="3" formatCode="#,##0"/>
    </dxf>
    <dxf>
      <numFmt numFmtId="166" formatCode="&quot;$&quot;#,##0"/>
    </dxf>
    <dxf>
      <numFmt numFmtId="3" formatCode="#,##0"/>
    </dxf>
    <dxf>
      <numFmt numFmtId="166" formatCode="&quot;$&quot;#,##0"/>
    </dxf>
    <dxf>
      <numFmt numFmtId="3" formatCode="#,##0"/>
    </dxf>
    <dxf>
      <numFmt numFmtId="166" formatCode="&quot;$&quot;#,##0"/>
    </dxf>
    <dxf>
      <numFmt numFmtId="3" formatCode="#,##0"/>
    </dxf>
    <dxf>
      <numFmt numFmtId="166" formatCode="&quot;$&quot;#,##0"/>
    </dxf>
    <dxf>
      <numFmt numFmtId="3" formatCode="#,##0"/>
    </dxf>
    <dxf>
      <numFmt numFmtId="166" formatCode="&quot;$&quot;#,##0"/>
    </dxf>
    <dxf>
      <numFmt numFmtId="3" formatCode="#,##0"/>
    </dxf>
    <dxf>
      <numFmt numFmtId="166" formatCode="&quot;$&quot;#,##0"/>
    </dxf>
    <dxf>
      <numFmt numFmtId="3" formatCode="#,##0"/>
    </dxf>
    <dxf>
      <numFmt numFmtId="166" formatCode="&quot;$&quot;#,##0"/>
    </dxf>
    <dxf>
      <numFmt numFmtId="3" formatCode="#,##0"/>
    </dxf>
    <dxf>
      <font>
        <b/>
        <color theme="1"/>
      </font>
      <border>
        <bottom style="thin">
          <color theme="5"/>
        </bottom>
        <vertical/>
        <horizontal/>
      </border>
    </dxf>
    <dxf>
      <font>
        <color theme="1"/>
      </font>
      <fill>
        <patternFill>
          <fgColor theme="0" tint="-4.9989318521683403E-2"/>
          <bgColor theme="0" tint="-4.9989318521683403E-2"/>
        </patternFill>
      </fill>
      <border diagonalUp="0" diagonalDown="0">
        <left/>
        <right/>
        <top/>
        <bottom/>
        <vertical/>
        <horizontal/>
      </border>
    </dxf>
    <dxf>
      <numFmt numFmtId="3" formatCode="#,##0"/>
    </dxf>
    <dxf>
      <numFmt numFmtId="166" formatCode="&quot;$&quot;#,##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numFmt numFmtId="0" formatCode="General"/>
    </dxf>
    <dxf>
      <numFmt numFmtId="0" formatCode="General"/>
    </dxf>
    <dxf>
      <numFmt numFmtId="0" formatCode="General"/>
    </dxf>
    <dxf>
      <numFmt numFmtId="3" formatCode="#,##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left" vertical="center" textRotation="0" wrapText="0" indent="0" justifyLastLine="0" shrinkToFit="0" readingOrder="0"/>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indexed="65"/>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4" formatCode="#,##0.00"/>
      <fill>
        <patternFill patternType="none">
          <fgColor indexed="64"/>
          <bgColor auto="1"/>
        </patternFill>
      </fill>
      <alignment horizontal="righ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indexed="65"/>
        </patternFill>
      </fill>
    </dxf>
    <dxf>
      <font>
        <strike val="0"/>
        <outline val="0"/>
        <shadow val="0"/>
        <u val="none"/>
        <vertAlign val="baseline"/>
        <sz val="11"/>
        <color rgb="FF002060"/>
        <name val="Calibri"/>
        <family val="2"/>
        <scheme val="minor"/>
      </font>
      <numFmt numFmtId="167"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numFmt numFmtId="167" formatCode="dd/mm/yyyy"/>
      <fill>
        <patternFill patternType="none">
          <fgColor indexed="64"/>
          <bgColor indexed="65"/>
        </patternFill>
      </fill>
    </dxf>
    <dxf>
      <font>
        <strike val="0"/>
        <outline val="0"/>
        <shadow val="0"/>
        <u val="none"/>
        <vertAlign val="baseline"/>
        <sz val="11"/>
        <color rgb="FF002060"/>
        <name val="Calibri"/>
        <family val="2"/>
        <scheme val="minor"/>
      </font>
      <numFmt numFmtId="167" formatCode="dd/mm/yyyy"/>
      <fill>
        <patternFill patternType="none">
          <fgColor indexed="64"/>
          <bgColor auto="1"/>
        </patternFill>
      </fill>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s>
  <tableStyles count="2" defaultTableStyle="TableStyleMedium2" defaultPivotStyle="PivotStyleLight16">
    <tableStyle name="SLICER" pivot="0" table="0" count="10" xr9:uid="{C2F4C036-8D81-403F-996E-142D1BF5CBC0}">
      <tableStyleElement type="wholeTable" dxfId="50"/>
      <tableStyleElement type="headerRow" dxfId="49"/>
    </tableStyle>
    <tableStyle name="SlicerStyleDark2 2" pivot="0" table="0" count="10" xr9:uid="{93C7EBD9-0C6B-443A-9C42-44EE7CFDF04C}">
      <tableStyleElement type="wholeTable" dxfId="17"/>
      <tableStyleElement type="headerRow" dxfId="16"/>
    </tableStyle>
  </tableStyles>
  <colors>
    <mruColors>
      <color rgb="FFE7EFFF"/>
      <color rgb="FF0000FF"/>
      <color rgb="FFFF0000"/>
      <color rgb="FF000000"/>
      <color rgb="FF00FF00"/>
      <color rgb="FFF3F3F3"/>
    </mruColors>
  </colors>
  <extLst>
    <ext xmlns:x14="http://schemas.microsoft.com/office/spreadsheetml/2009/9/main" uri="{46F421CA-312F-682f-3DD2-61675219B42D}">
      <x14:dxfs count="4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Dark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powerPivotData" Target="model/item.data"/><Relationship Id="rId18"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customXml" Target="../customXml/item7.xml"/><Relationship Id="rId7" Type="http://schemas.microsoft.com/office/2007/relationships/slicerCache" Target="slicerCaches/slicerCache1.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23" Type="http://schemas.openxmlformats.org/officeDocument/2006/relationships/customXml" Target="../customXml/item9.xml"/><Relationship Id="rId10" Type="http://schemas.openxmlformats.org/officeDocument/2006/relationships/connections" Target="connections.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 Id="rId22"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strRef>
              <c:f>Target!$E$1</c:f>
              <c:strCache>
                <c:ptCount val="1"/>
                <c:pt idx="0">
                  <c:v>Below</c:v>
                </c:pt>
              </c:strCache>
            </c:strRef>
          </c:tx>
          <c:spPr>
            <a:solidFill>
              <a:schemeClr val="accent2"/>
            </a:soli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#N/A</c:v>
                </c:pt>
                <c:pt idx="1">
                  <c:v>91137.049999999988</c:v>
                </c:pt>
                <c:pt idx="2">
                  <c:v>97920.72</c:v>
                </c:pt>
                <c:pt idx="3">
                  <c:v>72320.89</c:v>
                </c:pt>
                <c:pt idx="4">
                  <c:v>70511.75999999998</c:v>
                </c:pt>
                <c:pt idx="5">
                  <c:v>66727.399999999994</c:v>
                </c:pt>
                <c:pt idx="6">
                  <c:v>#N/A</c:v>
                </c:pt>
                <c:pt idx="7">
                  <c:v>69125.749999999985</c:v>
                </c:pt>
                <c:pt idx="8">
                  <c:v>78253.529999999984</c:v>
                </c:pt>
                <c:pt idx="9">
                  <c:v>#N/A</c:v>
                </c:pt>
                <c:pt idx="10">
                  <c:v>75659.86</c:v>
                </c:pt>
                <c:pt idx="11">
                  <c:v>#N/A</c:v>
                </c:pt>
              </c:numCache>
            </c:numRef>
          </c:val>
          <c:extLst>
            <c:ext xmlns:c16="http://schemas.microsoft.com/office/drawing/2014/chart" uri="{C3380CC4-5D6E-409C-BE32-E72D297353CC}">
              <c16:uniqueId val="{00000001-6B31-4B49-BDD2-421AC4751611}"/>
            </c:ext>
          </c:extLst>
        </c:ser>
        <c:dLbls>
          <c:showLegendKey val="0"/>
          <c:showVal val="0"/>
          <c:showCatName val="0"/>
          <c:showSerName val="0"/>
          <c:showPercent val="0"/>
          <c:showBubbleSize val="0"/>
        </c:dLbls>
        <c:gapWidth val="219"/>
        <c:axId val="1063502911"/>
        <c:axId val="1063503391"/>
      </c:barChart>
      <c:lineChart>
        <c:grouping val="standard"/>
        <c:varyColors val="0"/>
        <c:ser>
          <c:idx val="0"/>
          <c:order val="0"/>
          <c:tx>
            <c:strRef>
              <c:f>Target!$C$1</c:f>
              <c:strCache>
                <c:ptCount val="1"/>
                <c:pt idx="0">
                  <c:v>Target ($)</c:v>
                </c:pt>
              </c:strCache>
            </c:strRef>
          </c:tx>
          <c:spPr>
            <a:ln w="28575" cap="rnd">
              <a:solidFill>
                <a:schemeClr val="accent1"/>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0-6B31-4B49-BDD2-421AC4751611}"/>
            </c:ext>
          </c:extLst>
        </c:ser>
        <c:ser>
          <c:idx val="2"/>
          <c:order val="2"/>
          <c:tx>
            <c:strRef>
              <c:f>Target!$F$1</c:f>
              <c:strCache>
                <c:ptCount val="1"/>
                <c:pt idx="0">
                  <c:v>Actual2</c:v>
                </c:pt>
              </c:strCache>
            </c:strRef>
          </c:tx>
          <c:spPr>
            <a:ln w="28575" cap="rnd">
              <a:solidFill>
                <a:schemeClr val="accent3"/>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smooth val="0"/>
          <c:extLst>
            <c:ext xmlns:c16="http://schemas.microsoft.com/office/drawing/2014/chart" uri="{C3380CC4-5D6E-409C-BE32-E72D297353CC}">
              <c16:uniqueId val="{00000002-6B31-4B49-BDD2-421AC4751611}"/>
            </c:ext>
          </c:extLst>
        </c:ser>
        <c:dLbls>
          <c:showLegendKey val="0"/>
          <c:showVal val="0"/>
          <c:showCatName val="0"/>
          <c:showSerName val="0"/>
          <c:showPercent val="0"/>
          <c:showBubbleSize val="0"/>
        </c:dLbls>
        <c:marker val="1"/>
        <c:smooth val="0"/>
        <c:axId val="1063502911"/>
        <c:axId val="1063503391"/>
      </c:lineChart>
      <c:catAx>
        <c:axId val="106350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03391"/>
        <c:crosses val="autoZero"/>
        <c:auto val="1"/>
        <c:lblAlgn val="ctr"/>
        <c:lblOffset val="100"/>
        <c:noMultiLvlLbl val="0"/>
      </c:catAx>
      <c:valAx>
        <c:axId val="1063503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50291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[Sales-Distribution-Dashboard.xlsx]Analysis Sheet!PivotTable3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'Analysis Sheet'!$G$2</c:f>
              <c:strCache>
                <c:ptCount val="1"/>
                <c:pt idx="0">
                  <c:v>Total</c:v>
                </c:pt>
              </c:strCache>
            </c:strRef>
          </c:tx>
          <c:spPr>
            <a:solidFill>
              <a:schemeClr val="accent1"/>
            </a:solidFill>
            <a:ln>
              <a:noFill/>
            </a:ln>
            <a:effectLst/>
          </c:spPr>
          <c:cat>
            <c:strRef>
              <c:f>'Analysis Sheet'!$F$3:$F$55</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 Sheet'!$G$3:$G$55</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6276-43EE-98A4-DBFF6D24967B}"/>
            </c:ext>
          </c:extLst>
        </c:ser>
        <c:dLbls>
          <c:showLegendKey val="0"/>
          <c:showVal val="0"/>
          <c:showCatName val="0"/>
          <c:showSerName val="0"/>
          <c:showPercent val="0"/>
          <c:showBubbleSize val="0"/>
        </c:dLbls>
        <c:axId val="1100550592"/>
        <c:axId val="1100540032"/>
      </c:areaChart>
      <c:catAx>
        <c:axId val="110055059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40032"/>
        <c:crosses val="autoZero"/>
        <c:auto val="1"/>
        <c:lblAlgn val="ctr"/>
        <c:lblOffset val="100"/>
        <c:noMultiLvlLbl val="0"/>
      </c:catAx>
      <c:valAx>
        <c:axId val="1100540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5059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[Sales-Distribution-Dashboard.xlsx]Analysis Sheet!PivotTable5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 Sheet'!$M$2</c:f>
              <c:strCache>
                <c:ptCount val="1"/>
                <c:pt idx="0">
                  <c:v>Total</c:v>
                </c:pt>
              </c:strCache>
            </c:strRef>
          </c:tx>
          <c:spPr>
            <a:solidFill>
              <a:schemeClr val="accent1"/>
            </a:solidFill>
            <a:ln>
              <a:noFill/>
            </a:ln>
            <a:effectLst/>
          </c:spPr>
          <c:invertIfNegative val="0"/>
          <c:cat>
            <c:strRef>
              <c:f>'Analysis Sheet'!$L$3:$L$12</c:f>
              <c:strCache>
                <c:ptCount val="10"/>
                <c:pt idx="0">
                  <c:v>Product05</c:v>
                </c:pt>
                <c:pt idx="1">
                  <c:v>Product10</c:v>
                </c:pt>
                <c:pt idx="2">
                  <c:v>Product19</c:v>
                </c:pt>
                <c:pt idx="3">
                  <c:v>Product21</c:v>
                </c:pt>
                <c:pt idx="4">
                  <c:v>Product22</c:v>
                </c:pt>
                <c:pt idx="5">
                  <c:v>Product24</c:v>
                </c:pt>
                <c:pt idx="6">
                  <c:v>Product30</c:v>
                </c:pt>
                <c:pt idx="7">
                  <c:v>Product32</c:v>
                </c:pt>
                <c:pt idx="8">
                  <c:v>Product41</c:v>
                </c:pt>
                <c:pt idx="9">
                  <c:v>Product42</c:v>
                </c:pt>
              </c:strCache>
            </c:strRef>
          </c:cat>
          <c:val>
            <c:numRef>
              <c:f>'Analysis Sheet'!$M$3:$M$12</c:f>
              <c:numCache>
                <c:formatCode>"$"#,##0</c:formatCode>
                <c:ptCount val="10"/>
                <c:pt idx="0">
                  <c:v>38591.280000000006</c:v>
                </c:pt>
                <c:pt idx="1">
                  <c:v>34991.64</c:v>
                </c:pt>
                <c:pt idx="2">
                  <c:v>41580</c:v>
                </c:pt>
                <c:pt idx="3">
                  <c:v>39659.759999999995</c:v>
                </c:pt>
                <c:pt idx="4">
                  <c:v>41055.299999999996</c:v>
                </c:pt>
                <c:pt idx="5">
                  <c:v>49599.360000000008</c:v>
                </c:pt>
                <c:pt idx="6">
                  <c:v>57968.639999999992</c:v>
                </c:pt>
                <c:pt idx="7">
                  <c:v>40883.039999999994</c:v>
                </c:pt>
                <c:pt idx="8">
                  <c:v>57554.28</c:v>
                </c:pt>
                <c:pt idx="9">
                  <c:v>38232</c:v>
                </c:pt>
              </c:numCache>
            </c:numRef>
          </c:val>
          <c:extLst>
            <c:ext xmlns:c16="http://schemas.microsoft.com/office/drawing/2014/chart" uri="{C3380CC4-5D6E-409C-BE32-E72D297353CC}">
              <c16:uniqueId val="{00000000-0935-4BFA-B662-650C80382F31}"/>
            </c:ext>
          </c:extLst>
        </c:ser>
        <c:dLbls>
          <c:showLegendKey val="0"/>
          <c:showVal val="0"/>
          <c:showCatName val="0"/>
          <c:showSerName val="0"/>
          <c:showPercent val="0"/>
          <c:showBubbleSize val="0"/>
        </c:dLbls>
        <c:gapWidth val="182"/>
        <c:axId val="1100541952"/>
        <c:axId val="1100553472"/>
      </c:barChart>
      <c:catAx>
        <c:axId val="110054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53472"/>
        <c:crosses val="autoZero"/>
        <c:auto val="1"/>
        <c:lblAlgn val="ctr"/>
        <c:lblOffset val="100"/>
        <c:noMultiLvlLbl val="0"/>
      </c:catAx>
      <c:valAx>
        <c:axId val="11005534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541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[Sales-Distribution-Dashboard.xlsx]Analysis Sheet!PivotTable6</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'Analysis Sheet'!$P$2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B10-493C-B686-CD84E6DB57A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B10-493C-B686-CD84E6DB57A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B10-493C-B686-CD84E6DB57A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B10-493C-B686-CD84E6DB57A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B10-493C-B686-CD84E6DB57A4}"/>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B10-493C-B686-CD84E6DB57A4}"/>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B10-493C-B686-CD84E6DB57A4}"/>
              </c:ext>
            </c:extLst>
          </c:dPt>
          <c:cat>
            <c:strRef>
              <c:f>'Analysis Sheet'!$O$3:$O$9</c:f>
              <c:strCache>
                <c:ptCount val="7"/>
                <c:pt idx="0">
                  <c:v>Central</c:v>
                </c:pt>
                <c:pt idx="1">
                  <c:v>East</c:v>
                </c:pt>
                <c:pt idx="2">
                  <c:v>Export</c:v>
                </c:pt>
                <c:pt idx="3">
                  <c:v>North</c:v>
                </c:pt>
                <c:pt idx="4">
                  <c:v>Northeast</c:v>
                </c:pt>
                <c:pt idx="5">
                  <c:v>South</c:v>
                </c:pt>
                <c:pt idx="6">
                  <c:v>Western</c:v>
                </c:pt>
              </c:strCache>
            </c:strRef>
          </c:cat>
          <c:val>
            <c:numRef>
              <c:f>'Analysis Sheet'!$P$3:$P$9</c:f>
              <c:numCache>
                <c:formatCode>General</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0-5F6B-4411-8A92-F05DAE239C7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1"/>
          <c:order val="1"/>
          <c:tx>
            <c:strRef>
              <c:f>Target!$E$1</c:f>
              <c:strCache>
                <c:ptCount val="1"/>
                <c:pt idx="0">
                  <c:v>Below</c:v>
                </c:pt>
              </c:strCache>
            </c:strRef>
          </c:tx>
          <c:spPr>
            <a:solidFill>
              <a:schemeClr val="accent2"/>
            </a:solidFill>
            <a:ln>
              <a:noFill/>
            </a:ln>
            <a:effectLst/>
          </c:spPr>
          <c:invertIfNegative val="0"/>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Target!$E$2:$E$13</c:f>
              <c:numCache>
                <c:formatCode>General</c:formatCode>
                <c:ptCount val="12"/>
                <c:pt idx="0">
                  <c:v>#N/A</c:v>
                </c:pt>
                <c:pt idx="1">
                  <c:v>91137.049999999988</c:v>
                </c:pt>
                <c:pt idx="2">
                  <c:v>97920.72</c:v>
                </c:pt>
                <c:pt idx="3">
                  <c:v>72320.89</c:v>
                </c:pt>
                <c:pt idx="4">
                  <c:v>70511.75999999998</c:v>
                </c:pt>
                <c:pt idx="5">
                  <c:v>66727.399999999994</c:v>
                </c:pt>
                <c:pt idx="6">
                  <c:v>#N/A</c:v>
                </c:pt>
                <c:pt idx="7">
                  <c:v>69125.749999999985</c:v>
                </c:pt>
                <c:pt idx="8">
                  <c:v>78253.529999999984</c:v>
                </c:pt>
                <c:pt idx="9">
                  <c:v>#N/A</c:v>
                </c:pt>
                <c:pt idx="10">
                  <c:v>75659.86</c:v>
                </c:pt>
                <c:pt idx="11">
                  <c:v>#N/A</c:v>
                </c:pt>
              </c:numCache>
            </c:numRef>
          </c:val>
          <c:extLst>
            <c:ext xmlns:c16="http://schemas.microsoft.com/office/drawing/2014/chart" uri="{C3380CC4-5D6E-409C-BE32-E72D297353CC}">
              <c16:uniqueId val="{00000000-295E-440F-8170-8018524AEA56}"/>
            </c:ext>
          </c:extLst>
        </c:ser>
        <c:dLbls>
          <c:showLegendKey val="0"/>
          <c:showVal val="0"/>
          <c:showCatName val="0"/>
          <c:showSerName val="0"/>
          <c:showPercent val="0"/>
          <c:showBubbleSize val="0"/>
        </c:dLbls>
        <c:gapWidth val="219"/>
        <c:axId val="1063502911"/>
        <c:axId val="1063503391"/>
      </c:barChart>
      <c:lineChart>
        <c:grouping val="standard"/>
        <c:varyColors val="0"/>
        <c:ser>
          <c:idx val="0"/>
          <c:order val="0"/>
          <c:tx>
            <c:strRef>
              <c:f>Target!$C$1</c:f>
              <c:strCache>
                <c:ptCount val="1"/>
                <c:pt idx="0">
                  <c:v>Target ($)</c:v>
                </c:pt>
              </c:strCache>
            </c:strRef>
          </c:tx>
          <c:spPr>
            <a:ln w="28575" cap="rnd">
              <a:solidFill>
                <a:schemeClr val="accent1"/>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Target!$C$2:$C$13</c:f>
              <c:numCache>
                <c:formatCode>#,##0</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1-295E-440F-8170-8018524AEA56}"/>
            </c:ext>
          </c:extLst>
        </c:ser>
        <c:ser>
          <c:idx val="2"/>
          <c:order val="2"/>
          <c:tx>
            <c:strRef>
              <c:f>Target!$F$1</c:f>
              <c:strCache>
                <c:ptCount val="1"/>
                <c:pt idx="0">
                  <c:v>Actual2</c:v>
                </c:pt>
              </c:strCache>
            </c:strRef>
          </c:tx>
          <c:spPr>
            <a:ln w="28575" cap="rnd">
              <a:solidFill>
                <a:schemeClr val="accent3"/>
              </a:solidFill>
              <a:round/>
            </a:ln>
            <a:effectLst/>
          </c:spPr>
          <c:marker>
            <c:symbol val="none"/>
          </c:marker>
          <c:cat>
            <c:strRef>
              <c:f>Target!$B$2:$B$13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Target!$F$2:$F$13</c:f>
              <c:numCache>
                <c:formatCode>General</c:formatCode>
                <c:ptCount val="12"/>
                <c:pt idx="0">
                  <c:v>92118.789999999964</c:v>
                </c:pt>
                <c:pt idx="1">
                  <c:v>#N/A</c:v>
                </c:pt>
                <c:pt idx="2">
                  <c:v>#N/A</c:v>
                </c:pt>
                <c:pt idx="3">
                  <c:v>#N/A</c:v>
                </c:pt>
                <c:pt idx="4">
                  <c:v>#N/A</c:v>
                </c:pt>
                <c:pt idx="5">
                  <c:v>#N/A</c:v>
                </c:pt>
                <c:pt idx="6">
                  <c:v>92661.550000000017</c:v>
                </c:pt>
                <c:pt idx="7">
                  <c:v>#N/A</c:v>
                </c:pt>
                <c:pt idx="8">
                  <c:v>#N/A</c:v>
                </c:pt>
                <c:pt idx="9">
                  <c:v>87136.37</c:v>
                </c:pt>
                <c:pt idx="10">
                  <c:v>#N/A</c:v>
                </c:pt>
                <c:pt idx="11">
                  <c:v>90997.389999999985</c:v>
                </c:pt>
              </c:numCache>
            </c:numRef>
          </c:val>
          <c:smooth val="0"/>
          <c:extLst>
            <c:ext xmlns:c16="http://schemas.microsoft.com/office/drawing/2014/chart" uri="{C3380CC4-5D6E-409C-BE32-E72D297353CC}">
              <c16:uniqueId val="{00000002-295E-440F-8170-8018524AEA56}"/>
            </c:ext>
          </c:extLst>
        </c:ser>
        <c:dLbls>
          <c:showLegendKey val="0"/>
          <c:showVal val="0"/>
          <c:showCatName val="0"/>
          <c:showSerName val="0"/>
          <c:showPercent val="0"/>
          <c:showBubbleSize val="0"/>
        </c:dLbls>
        <c:marker val="1"/>
        <c:smooth val="0"/>
        <c:axId val="1063502911"/>
        <c:axId val="1063503391"/>
      </c:lineChart>
      <c:catAx>
        <c:axId val="106350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3503391"/>
        <c:crosses val="autoZero"/>
        <c:auto val="1"/>
        <c:lblAlgn val="ctr"/>
        <c:lblOffset val="100"/>
        <c:noMultiLvlLbl val="0"/>
      </c:catAx>
      <c:valAx>
        <c:axId val="10635033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63502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[Sales-Distribution-Dashboard.xlsx]Analysis Sheet!PivotTable6</c:name>
    <c:fmtId val="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s>
    <c:plotArea>
      <c:layout/>
      <c:pieChart>
        <c:varyColors val="1"/>
        <c:ser>
          <c:idx val="0"/>
          <c:order val="0"/>
          <c:tx>
            <c:strRef>
              <c:f>'Analysis Sheet'!$P$2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0E8-4409-BA60-7F7E33CBFFF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0E8-4409-BA60-7F7E33CBFFF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0E8-4409-BA60-7F7E33CBFFF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0E8-4409-BA60-7F7E33CBFFF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0E8-4409-BA60-7F7E33CBFFF1}"/>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60E8-4409-BA60-7F7E33CBFFF1}"/>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60E8-4409-BA60-7F7E33CBFFF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'Analysis Sheet'!$O$3:$O$9</c:f>
              <c:strCache>
                <c:ptCount val="7"/>
                <c:pt idx="0">
                  <c:v>Central</c:v>
                </c:pt>
                <c:pt idx="1">
                  <c:v>East</c:v>
                </c:pt>
                <c:pt idx="2">
                  <c:v>Export</c:v>
                </c:pt>
                <c:pt idx="3">
                  <c:v>North</c:v>
                </c:pt>
                <c:pt idx="4">
                  <c:v>Northeast</c:v>
                </c:pt>
                <c:pt idx="5">
                  <c:v>South</c:v>
                </c:pt>
                <c:pt idx="6">
                  <c:v>Western</c:v>
                </c:pt>
              </c:strCache>
            </c:strRef>
          </c:cat>
          <c:val>
            <c:numRef>
              <c:f>'Analysis Sheet'!$P$3:$P$9</c:f>
              <c:numCache>
                <c:formatCode>General</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E-60E8-4409-BA60-7F7E33CBFFF1}"/>
            </c:ext>
          </c:extLst>
        </c:ser>
        <c:dLbls>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[Sales-Distribution-Dashboard.xlsx]Analysis Sheet!PivotTable5</c:name>
    <c:fmtId val="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1117211233905088"/>
          <c:y val="0.12365631652616646"/>
          <c:w val="0.53196064966239909"/>
          <c:h val="0.8306673550267013"/>
        </c:manualLayout>
      </c:layout>
      <c:barChart>
        <c:barDir val="bar"/>
        <c:grouping val="clustered"/>
        <c:varyColors val="0"/>
        <c:ser>
          <c:idx val="0"/>
          <c:order val="0"/>
          <c:tx>
            <c:strRef>
              <c:f>'Analysis Sheet'!$M$2</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Sheet'!$L$3:$L$12</c:f>
              <c:strCache>
                <c:ptCount val="10"/>
                <c:pt idx="0">
                  <c:v>Product05</c:v>
                </c:pt>
                <c:pt idx="1">
                  <c:v>Product10</c:v>
                </c:pt>
                <c:pt idx="2">
                  <c:v>Product19</c:v>
                </c:pt>
                <c:pt idx="3">
                  <c:v>Product21</c:v>
                </c:pt>
                <c:pt idx="4">
                  <c:v>Product22</c:v>
                </c:pt>
                <c:pt idx="5">
                  <c:v>Product24</c:v>
                </c:pt>
                <c:pt idx="6">
                  <c:v>Product30</c:v>
                </c:pt>
                <c:pt idx="7">
                  <c:v>Product32</c:v>
                </c:pt>
                <c:pt idx="8">
                  <c:v>Product41</c:v>
                </c:pt>
                <c:pt idx="9">
                  <c:v>Product42</c:v>
                </c:pt>
              </c:strCache>
            </c:strRef>
          </c:cat>
          <c:val>
            <c:numRef>
              <c:f>'Analysis Sheet'!$M$3:$M$12</c:f>
              <c:numCache>
                <c:formatCode>"$"#,##0</c:formatCode>
                <c:ptCount val="10"/>
                <c:pt idx="0">
                  <c:v>38591.280000000006</c:v>
                </c:pt>
                <c:pt idx="1">
                  <c:v>34991.64</c:v>
                </c:pt>
                <c:pt idx="2">
                  <c:v>41580</c:v>
                </c:pt>
                <c:pt idx="3">
                  <c:v>39659.759999999995</c:v>
                </c:pt>
                <c:pt idx="4">
                  <c:v>41055.299999999996</c:v>
                </c:pt>
                <c:pt idx="5">
                  <c:v>49599.360000000008</c:v>
                </c:pt>
                <c:pt idx="6">
                  <c:v>57968.639999999992</c:v>
                </c:pt>
                <c:pt idx="7">
                  <c:v>40883.039999999994</c:v>
                </c:pt>
                <c:pt idx="8">
                  <c:v>57554.28</c:v>
                </c:pt>
                <c:pt idx="9">
                  <c:v>38232</c:v>
                </c:pt>
              </c:numCache>
            </c:numRef>
          </c:val>
          <c:extLst>
            <c:ext xmlns:c16="http://schemas.microsoft.com/office/drawing/2014/chart" uri="{C3380CC4-5D6E-409C-BE32-E72D297353CC}">
              <c16:uniqueId val="{00000000-CDEE-45D1-AA74-944E56769EF3}"/>
            </c:ext>
          </c:extLst>
        </c:ser>
        <c:dLbls>
          <c:dLblPos val="outEnd"/>
          <c:showLegendKey val="0"/>
          <c:showVal val="1"/>
          <c:showCatName val="0"/>
          <c:showSerName val="0"/>
          <c:showPercent val="0"/>
          <c:showBubbleSize val="0"/>
        </c:dLbls>
        <c:gapWidth val="182"/>
        <c:axId val="1100541952"/>
        <c:axId val="1100553472"/>
      </c:barChart>
      <c:catAx>
        <c:axId val="1100541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0553472"/>
        <c:crosses val="autoZero"/>
        <c:auto val="1"/>
        <c:lblAlgn val="ctr"/>
        <c:lblOffset val="100"/>
        <c:noMultiLvlLbl val="0"/>
      </c:catAx>
      <c:valAx>
        <c:axId val="1100553472"/>
        <c:scaling>
          <c:orientation val="minMax"/>
        </c:scaling>
        <c:delete val="1"/>
        <c:axPos val="b"/>
        <c:numFmt formatCode="&quot;$&quot;#,##0" sourceLinked="1"/>
        <c:majorTickMark val="none"/>
        <c:minorTickMark val="none"/>
        <c:tickLblPos val="nextTo"/>
        <c:crossAx val="11005419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[Sales-Distribution-Dashboard.xlsx]Analysis Sheet!PivotTable3</c:name>
    <c:fmtId val="6"/>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037702538701907E-2"/>
          <c:y val="0.11731975916009803"/>
          <c:w val="0.90525630413276537"/>
          <c:h val="0.57565590220888063"/>
        </c:manualLayout>
      </c:layout>
      <c:areaChart>
        <c:grouping val="standard"/>
        <c:varyColors val="0"/>
        <c:ser>
          <c:idx val="0"/>
          <c:order val="0"/>
          <c:tx>
            <c:strRef>
              <c:f>'Analysis Sheet'!$G$2</c:f>
              <c:strCache>
                <c:ptCount val="1"/>
                <c:pt idx="0">
                  <c:v>Total</c:v>
                </c:pt>
              </c:strCache>
            </c:strRef>
          </c:tx>
          <c:spPr>
            <a:solidFill>
              <a:schemeClr val="accent2"/>
            </a:solidFill>
            <a:ln>
              <a:noFill/>
            </a:ln>
            <a:effectLst/>
          </c:spPr>
          <c:cat>
            <c:strRef>
              <c:f>'Analysis Sheet'!$F$3:$F$55</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'Analysis Sheet'!$G$3:$G$55</c:f>
              <c:numCache>
                <c:formatCode>General</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1612-40B8-B7B4-C840AD43817E}"/>
            </c:ext>
          </c:extLst>
        </c:ser>
        <c:dLbls>
          <c:showLegendKey val="0"/>
          <c:showVal val="0"/>
          <c:showCatName val="0"/>
          <c:showSerName val="0"/>
          <c:showPercent val="0"/>
          <c:showBubbleSize val="0"/>
        </c:dLbls>
        <c:axId val="1100550592"/>
        <c:axId val="1100540032"/>
      </c:areaChart>
      <c:dateAx>
        <c:axId val="1100550592"/>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0540032"/>
        <c:crosses val="autoZero"/>
        <c:auto val="0"/>
        <c:lblOffset val="100"/>
        <c:baseTimeUnit val="days"/>
        <c:minorUnit val="3"/>
      </c:dateAx>
      <c:valAx>
        <c:axId val="1100540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005505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plotArea>
      <cx:plotAreaRegion>
        <cx:series layoutId="regionMap" uniqueId="{C1881913-54BE-489B-8C6C-9B031801C886}">
          <cx:dataId val="0"/>
          <cx:layoutPr>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C1881913-54BE-489B-8C6C-9B031801C886}">
          <cx:dataId val="0"/>
          <cx:layoutPr>
            <cx:geography cultureLanguage="en-US" cultureRegion="US" attribution="Powered by Bing">
              <cx:geoCache provider="{E9337A44-BEBE-4D9F-B70C-5C5E7DAFC167}">
                <cx:binary>BMFRCoAgDADQq4gHcBV9SXUXWTMFdeEG7fi9d6BFbJSms96GRLTTF9U3AggW6klCrzhZOGtA7sA5
VyS4Z/rqeGBb1h2wpKlk3sH1AwAA//8=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solidFill>
                <a:schemeClr val="tx1"/>
              </a:solidFill>
            </a:defRPr>
          </a:pPr>
          <a:endParaRPr lang="en-US" sz="900" b="0" i="0" u="none" strike="noStrike" baseline="0">
            <a:solidFill>
              <a:schemeClr val="tx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5">
  <a:schemeClr val="accent2"/>
</cs:colorStyle>
</file>

<file path=xl/charts/colors10.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microsoft.com/office/2014/relationships/chartEx" Target="../charts/chartEx1.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6</xdr:col>
      <xdr:colOff>457200</xdr:colOff>
      <xdr:row>1</xdr:row>
      <xdr:rowOff>61912</xdr:rowOff>
    </xdr:from>
    <xdr:to>
      <xdr:col>11</xdr:col>
      <xdr:colOff>695325</xdr:colOff>
      <xdr:row>15</xdr:row>
      <xdr:rowOff>138112</xdr:rowOff>
    </xdr:to>
    <xdr:graphicFrame macro="">
      <xdr:nvGraphicFramePr>
        <xdr:cNvPr id="2" name="Chart 1">
          <a:extLst>
            <a:ext uri="{FF2B5EF4-FFF2-40B4-BE49-F238E27FC236}">
              <a16:creationId xmlns:a16="http://schemas.microsoft.com/office/drawing/2014/main" id="{5E011DDD-33E8-BD65-EE20-15028F92B2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76200</xdr:colOff>
      <xdr:row>55</xdr:row>
      <xdr:rowOff>71437</xdr:rowOff>
    </xdr:from>
    <xdr:to>
      <xdr:col>7</xdr:col>
      <xdr:colOff>1009650</xdr:colOff>
      <xdr:row>69</xdr:row>
      <xdr:rowOff>147637</xdr:rowOff>
    </xdr:to>
    <xdr:graphicFrame macro="">
      <xdr:nvGraphicFramePr>
        <xdr:cNvPr id="2" name="Chart 1">
          <a:extLst>
            <a:ext uri="{FF2B5EF4-FFF2-40B4-BE49-F238E27FC236}">
              <a16:creationId xmlns:a16="http://schemas.microsoft.com/office/drawing/2014/main" id="{A89B5C36-A6DD-9317-A032-DA51A41367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428625</xdr:colOff>
      <xdr:row>13</xdr:row>
      <xdr:rowOff>23812</xdr:rowOff>
    </xdr:from>
    <xdr:to>
      <xdr:col>13</xdr:col>
      <xdr:colOff>1362075</xdr:colOff>
      <xdr:row>27</xdr:row>
      <xdr:rowOff>100012</xdr:rowOff>
    </xdr:to>
    <xdr:graphicFrame macro="">
      <xdr:nvGraphicFramePr>
        <xdr:cNvPr id="3" name="Chart 2">
          <a:extLst>
            <a:ext uri="{FF2B5EF4-FFF2-40B4-BE49-F238E27FC236}">
              <a16:creationId xmlns:a16="http://schemas.microsoft.com/office/drawing/2014/main" id="{9FAE2C7F-0927-2C0B-7AA9-1E22E437FB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1247775</xdr:colOff>
      <xdr:row>9</xdr:row>
      <xdr:rowOff>61912</xdr:rowOff>
    </xdr:from>
    <xdr:to>
      <xdr:col>16</xdr:col>
      <xdr:colOff>257175</xdr:colOff>
      <xdr:row>19</xdr:row>
      <xdr:rowOff>180975</xdr:rowOff>
    </xdr:to>
    <xdr:graphicFrame macro="">
      <xdr:nvGraphicFramePr>
        <xdr:cNvPr id="4" name="Chart 3">
          <a:extLst>
            <a:ext uri="{FF2B5EF4-FFF2-40B4-BE49-F238E27FC236}">
              <a16:creationId xmlns:a16="http://schemas.microsoft.com/office/drawing/2014/main" id="{F1195F67-E706-FB73-6692-149F6FE1C5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133350</xdr:colOff>
      <xdr:row>2</xdr:row>
      <xdr:rowOff>33337</xdr:rowOff>
    </xdr:from>
    <xdr:to>
      <xdr:col>25</xdr:col>
      <xdr:colOff>876300</xdr:colOff>
      <xdr:row>16</xdr:row>
      <xdr:rowOff>109537</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30ADA3D3-B21B-6EF6-2841-46899D4F32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7536775" y="414337"/>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17</xdr:col>
      <xdr:colOff>590550</xdr:colOff>
      <xdr:row>4</xdr:row>
      <xdr:rowOff>142875</xdr:rowOff>
    </xdr:from>
    <xdr:to>
      <xdr:col>18</xdr:col>
      <xdr:colOff>866775</xdr:colOff>
      <xdr:row>18</xdr:row>
      <xdr:rowOff>0</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15FC7D2C-571B-EB22-8C4C-76530DA6B6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1231225" y="904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1066800</xdr:colOff>
      <xdr:row>7</xdr:row>
      <xdr:rowOff>47625</xdr:rowOff>
    </xdr:from>
    <xdr:to>
      <xdr:col>18</xdr:col>
      <xdr:colOff>1343025</xdr:colOff>
      <xdr:row>20</xdr:row>
      <xdr:rowOff>95250</xdr:rowOff>
    </xdr:to>
    <mc:AlternateContent xmlns:mc="http://schemas.openxmlformats.org/markup-compatibility/2006" xmlns:a14="http://schemas.microsoft.com/office/drawing/2010/main">
      <mc:Choice Requires="a14">
        <xdr:graphicFrame macro="">
          <xdr:nvGraphicFramePr>
            <xdr:cNvPr id="7" name="Month">
              <a:extLst>
                <a:ext uri="{FF2B5EF4-FFF2-40B4-BE49-F238E27FC236}">
                  <a16:creationId xmlns:a16="http://schemas.microsoft.com/office/drawing/2014/main" id="{CB4083A9-240E-12E4-66E8-D158232AD992}"/>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707475" y="13811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293607</xdr:colOff>
      <xdr:row>1</xdr:row>
      <xdr:rowOff>80878</xdr:rowOff>
    </xdr:from>
    <xdr:to>
      <xdr:col>24</xdr:col>
      <xdr:colOff>365411</xdr:colOff>
      <xdr:row>39</xdr:row>
      <xdr:rowOff>132391</xdr:rowOff>
    </xdr:to>
    <xdr:sp macro="" textlink="">
      <xdr:nvSpPr>
        <xdr:cNvPr id="30" name="Shape 5">
          <a:extLst>
            <a:ext uri="{FF2B5EF4-FFF2-40B4-BE49-F238E27FC236}">
              <a16:creationId xmlns:a16="http://schemas.microsoft.com/office/drawing/2014/main" id="{AAA2DD2D-216A-4001-9B45-64BB0D8022B6}"/>
            </a:ext>
          </a:extLst>
        </xdr:cNvPr>
        <xdr:cNvSpPr/>
      </xdr:nvSpPr>
      <xdr:spPr>
        <a:xfrm>
          <a:off x="15358658" y="275266"/>
          <a:ext cx="14534253" cy="7438247"/>
        </a:xfrm>
        <a:prstGeom prst="roundRect">
          <a:avLst>
            <a:gd name="adj" fmla="val 1112"/>
          </a:avLst>
        </a:prstGeom>
        <a:solidFill>
          <a:schemeClr val="tx1">
            <a:lumMod val="85000"/>
            <a:lumOff val="15000"/>
          </a:schemeClr>
        </a:solidFill>
        <a:ln w="12700" cap="flat" cmpd="sng">
          <a:solidFill>
            <a:schemeClr val="tx1">
              <a:lumMod val="65000"/>
              <a:lumOff val="35000"/>
            </a:schemeClr>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ln>
                <a:solidFill>
                  <a:schemeClr val="tx1">
                    <a:lumMod val="75000"/>
                    <a:lumOff val="25000"/>
                  </a:schemeClr>
                </a:solidFill>
              </a:ln>
              <a:solidFill>
                <a:schemeClr val="lt1"/>
              </a:solidFill>
              <a:latin typeface="Calibri"/>
              <a:ea typeface="Calibri"/>
              <a:cs typeface="Calibri"/>
              <a:sym typeface="Calibri"/>
            </a:rPr>
            <a:t>`</a:t>
          </a:r>
          <a:endParaRPr sz="1400">
            <a:ln>
              <a:solidFill>
                <a:schemeClr val="tx1">
                  <a:lumMod val="75000"/>
                  <a:lumOff val="25000"/>
                </a:schemeClr>
              </a:solidFill>
            </a:ln>
          </a:endParaRPr>
        </a:p>
      </xdr:txBody>
    </xdr:sp>
    <xdr:clientData/>
  </xdr:twoCellAnchor>
  <xdr:twoCellAnchor>
    <xdr:from>
      <xdr:col>0</xdr:col>
      <xdr:colOff>384650</xdr:colOff>
      <xdr:row>1</xdr:row>
      <xdr:rowOff>188754</xdr:rowOff>
    </xdr:from>
    <xdr:to>
      <xdr:col>14</xdr:col>
      <xdr:colOff>508000</xdr:colOff>
      <xdr:row>6</xdr:row>
      <xdr:rowOff>188771</xdr:rowOff>
    </xdr:to>
    <xdr:sp macro="" textlink="">
      <xdr:nvSpPr>
        <xdr:cNvPr id="32" name="Shape 6">
          <a:extLst>
            <a:ext uri="{FF2B5EF4-FFF2-40B4-BE49-F238E27FC236}">
              <a16:creationId xmlns:a16="http://schemas.microsoft.com/office/drawing/2014/main" id="{9C900A05-94D7-480B-A204-F41B571187B4}"/>
            </a:ext>
          </a:extLst>
        </xdr:cNvPr>
        <xdr:cNvSpPr/>
      </xdr:nvSpPr>
      <xdr:spPr>
        <a:xfrm>
          <a:off x="384650" y="379254"/>
          <a:ext cx="8717017" cy="952517"/>
        </a:xfrm>
        <a:prstGeom prst="roundRect">
          <a:avLst>
            <a:gd name="adj" fmla="val 10000"/>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clientData/>
  </xdr:twoCellAnchor>
  <xdr:twoCellAnchor>
    <xdr:from>
      <xdr:col>15</xdr:col>
      <xdr:colOff>0</xdr:colOff>
      <xdr:row>1</xdr:row>
      <xdr:rowOff>188659</xdr:rowOff>
    </xdr:from>
    <xdr:to>
      <xdr:col>24</xdr:col>
      <xdr:colOff>291511</xdr:colOff>
      <xdr:row>6</xdr:row>
      <xdr:rowOff>188676</xdr:rowOff>
    </xdr:to>
    <xdr:sp macro="" textlink="">
      <xdr:nvSpPr>
        <xdr:cNvPr id="34" name="Shape 6">
          <a:extLst>
            <a:ext uri="{FF2B5EF4-FFF2-40B4-BE49-F238E27FC236}">
              <a16:creationId xmlns:a16="http://schemas.microsoft.com/office/drawing/2014/main" id="{6DA0E4F2-05EB-46FD-90B9-3EA47763A34C}"/>
            </a:ext>
          </a:extLst>
        </xdr:cNvPr>
        <xdr:cNvSpPr/>
      </xdr:nvSpPr>
      <xdr:spPr>
        <a:xfrm>
          <a:off x="9207500" y="379159"/>
          <a:ext cx="5816011" cy="952517"/>
        </a:xfrm>
        <a:prstGeom prst="roundRect">
          <a:avLst>
            <a:gd name="adj" fmla="val 10000"/>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clientData/>
  </xdr:twoCellAnchor>
  <xdr:twoCellAnchor>
    <xdr:from>
      <xdr:col>0</xdr:col>
      <xdr:colOff>387727</xdr:colOff>
      <xdr:row>7</xdr:row>
      <xdr:rowOff>111027</xdr:rowOff>
    </xdr:from>
    <xdr:to>
      <xdr:col>7</xdr:col>
      <xdr:colOff>482958</xdr:colOff>
      <xdr:row>15</xdr:row>
      <xdr:rowOff>82114</xdr:rowOff>
    </xdr:to>
    <xdr:sp macro="" textlink="">
      <xdr:nvSpPr>
        <xdr:cNvPr id="35" name="Shape 6">
          <a:extLst>
            <a:ext uri="{FF2B5EF4-FFF2-40B4-BE49-F238E27FC236}">
              <a16:creationId xmlns:a16="http://schemas.microsoft.com/office/drawing/2014/main" id="{D4CC04FA-6869-4971-8667-8F067D9E1D14}"/>
            </a:ext>
          </a:extLst>
        </xdr:cNvPr>
        <xdr:cNvSpPr/>
      </xdr:nvSpPr>
      <xdr:spPr>
        <a:xfrm>
          <a:off x="387727" y="1425745"/>
          <a:ext cx="4321111" cy="1473623"/>
        </a:xfrm>
        <a:prstGeom prst="roundRect">
          <a:avLst>
            <a:gd name="adj" fmla="val 5448"/>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clientData/>
  </xdr:twoCellAnchor>
  <xdr:twoCellAnchor>
    <xdr:from>
      <xdr:col>0</xdr:col>
      <xdr:colOff>392325</xdr:colOff>
      <xdr:row>15</xdr:row>
      <xdr:rowOff>164891</xdr:rowOff>
    </xdr:from>
    <xdr:to>
      <xdr:col>3</xdr:col>
      <xdr:colOff>362219</xdr:colOff>
      <xdr:row>29</xdr:row>
      <xdr:rowOff>82110</xdr:rowOff>
    </xdr:to>
    <xdr:sp macro="" textlink="">
      <xdr:nvSpPr>
        <xdr:cNvPr id="38" name="Shape 6">
          <a:extLst>
            <a:ext uri="{FF2B5EF4-FFF2-40B4-BE49-F238E27FC236}">
              <a16:creationId xmlns:a16="http://schemas.microsoft.com/office/drawing/2014/main" id="{D8F66414-74C8-480D-843B-E7AD72E4E9DE}"/>
            </a:ext>
          </a:extLst>
        </xdr:cNvPr>
        <xdr:cNvSpPr/>
      </xdr:nvSpPr>
      <xdr:spPr>
        <a:xfrm>
          <a:off x="392325" y="2982145"/>
          <a:ext cx="1780986" cy="2546655"/>
        </a:xfrm>
        <a:prstGeom prst="roundRect">
          <a:avLst>
            <a:gd name="adj" fmla="val 5046"/>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clientData/>
  </xdr:twoCellAnchor>
  <xdr:twoCellAnchor>
    <xdr:from>
      <xdr:col>0</xdr:col>
      <xdr:colOff>375904</xdr:colOff>
      <xdr:row>29</xdr:row>
      <xdr:rowOff>160986</xdr:rowOff>
    </xdr:from>
    <xdr:to>
      <xdr:col>12</xdr:col>
      <xdr:colOff>442712</xdr:colOff>
      <xdr:row>39</xdr:row>
      <xdr:rowOff>21167</xdr:rowOff>
    </xdr:to>
    <xdr:sp macro="" textlink="">
      <xdr:nvSpPr>
        <xdr:cNvPr id="39" name="Shape 6">
          <a:extLst>
            <a:ext uri="{FF2B5EF4-FFF2-40B4-BE49-F238E27FC236}">
              <a16:creationId xmlns:a16="http://schemas.microsoft.com/office/drawing/2014/main" id="{AC5A4311-A369-472B-B6BF-9132D0BA49F8}"/>
            </a:ext>
          </a:extLst>
        </xdr:cNvPr>
        <xdr:cNvSpPr/>
      </xdr:nvSpPr>
      <xdr:spPr>
        <a:xfrm>
          <a:off x="375904" y="5607676"/>
          <a:ext cx="7311174" cy="1738350"/>
        </a:xfrm>
        <a:prstGeom prst="roundRect">
          <a:avLst>
            <a:gd name="adj" fmla="val 2725"/>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clientData/>
  </xdr:twoCellAnchor>
  <xdr:twoCellAnchor>
    <xdr:from>
      <xdr:col>7</xdr:col>
      <xdr:colOff>567882</xdr:colOff>
      <xdr:row>7</xdr:row>
      <xdr:rowOff>102209</xdr:rowOff>
    </xdr:from>
    <xdr:to>
      <xdr:col>12</xdr:col>
      <xdr:colOff>402465</xdr:colOff>
      <xdr:row>15</xdr:row>
      <xdr:rowOff>73296</xdr:rowOff>
    </xdr:to>
    <xdr:sp macro="" textlink="">
      <xdr:nvSpPr>
        <xdr:cNvPr id="40" name="Shape 6">
          <a:extLst>
            <a:ext uri="{FF2B5EF4-FFF2-40B4-BE49-F238E27FC236}">
              <a16:creationId xmlns:a16="http://schemas.microsoft.com/office/drawing/2014/main" id="{65B40090-AB89-4F4A-A8D0-6C2206D4268E}"/>
            </a:ext>
          </a:extLst>
        </xdr:cNvPr>
        <xdr:cNvSpPr/>
      </xdr:nvSpPr>
      <xdr:spPr>
        <a:xfrm>
          <a:off x="4793762" y="1416927"/>
          <a:ext cx="2853069" cy="1473623"/>
        </a:xfrm>
        <a:prstGeom prst="roundRect">
          <a:avLst>
            <a:gd name="adj" fmla="val 363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clientData/>
  </xdr:twoCellAnchor>
  <xdr:twoCellAnchor>
    <xdr:from>
      <xdr:col>3</xdr:col>
      <xdr:colOff>475333</xdr:colOff>
      <xdr:row>15</xdr:row>
      <xdr:rowOff>142659</xdr:rowOff>
    </xdr:from>
    <xdr:to>
      <xdr:col>12</xdr:col>
      <xdr:colOff>443636</xdr:colOff>
      <xdr:row>29</xdr:row>
      <xdr:rowOff>80493</xdr:rowOff>
    </xdr:to>
    <xdr:sp macro="" textlink="">
      <xdr:nvSpPr>
        <xdr:cNvPr id="41" name="Shape 6">
          <a:extLst>
            <a:ext uri="{FF2B5EF4-FFF2-40B4-BE49-F238E27FC236}">
              <a16:creationId xmlns:a16="http://schemas.microsoft.com/office/drawing/2014/main" id="{B9FA08A2-F41D-4B09-B30E-C4DCB3F9E4B2}"/>
            </a:ext>
          </a:extLst>
        </xdr:cNvPr>
        <xdr:cNvSpPr/>
      </xdr:nvSpPr>
      <xdr:spPr>
        <a:xfrm>
          <a:off x="2286425" y="2959913"/>
          <a:ext cx="5401577" cy="2567270"/>
        </a:xfrm>
        <a:prstGeom prst="roundRect">
          <a:avLst>
            <a:gd name="adj" fmla="val 3853"/>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clientData/>
  </xdr:twoCellAnchor>
  <xdr:twoCellAnchor>
    <xdr:from>
      <xdr:col>17</xdr:col>
      <xdr:colOff>394138</xdr:colOff>
      <xdr:row>7</xdr:row>
      <xdr:rowOff>91976</xdr:rowOff>
    </xdr:from>
    <xdr:to>
      <xdr:col>24</xdr:col>
      <xdr:colOff>300201</xdr:colOff>
      <xdr:row>21</xdr:row>
      <xdr:rowOff>65690</xdr:rowOff>
    </xdr:to>
    <xdr:sp macro="" textlink="">
      <xdr:nvSpPr>
        <xdr:cNvPr id="42" name="Shape 6">
          <a:extLst>
            <a:ext uri="{FF2B5EF4-FFF2-40B4-BE49-F238E27FC236}">
              <a16:creationId xmlns:a16="http://schemas.microsoft.com/office/drawing/2014/main" id="{FEE65311-6C48-4FCD-A445-1D8FE5BF5FEF}"/>
            </a:ext>
          </a:extLst>
        </xdr:cNvPr>
        <xdr:cNvSpPr/>
      </xdr:nvSpPr>
      <xdr:spPr>
        <a:xfrm>
          <a:off x="10765805" y="1442907"/>
          <a:ext cx="4176749" cy="2675577"/>
        </a:xfrm>
        <a:prstGeom prst="roundRect">
          <a:avLst>
            <a:gd name="adj" fmla="val 6312"/>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clientData/>
  </xdr:twoCellAnchor>
  <xdr:twoCellAnchor>
    <xdr:from>
      <xdr:col>17</xdr:col>
      <xdr:colOff>377840</xdr:colOff>
      <xdr:row>21</xdr:row>
      <xdr:rowOff>129420</xdr:rowOff>
    </xdr:from>
    <xdr:to>
      <xdr:col>24</xdr:col>
      <xdr:colOff>288377</xdr:colOff>
      <xdr:row>39</xdr:row>
      <xdr:rowOff>49267</xdr:rowOff>
    </xdr:to>
    <xdr:sp macro="" textlink="">
      <xdr:nvSpPr>
        <xdr:cNvPr id="43" name="Shape 6">
          <a:extLst>
            <a:ext uri="{FF2B5EF4-FFF2-40B4-BE49-F238E27FC236}">
              <a16:creationId xmlns:a16="http://schemas.microsoft.com/office/drawing/2014/main" id="{AB92442F-D478-4679-A4A1-35E9808E6BB1}"/>
            </a:ext>
          </a:extLst>
        </xdr:cNvPr>
        <xdr:cNvSpPr/>
      </xdr:nvSpPr>
      <xdr:spPr>
        <a:xfrm>
          <a:off x="25898271" y="4267868"/>
          <a:ext cx="4163942" cy="3467089"/>
        </a:xfrm>
        <a:prstGeom prst="roundRect">
          <a:avLst>
            <a:gd name="adj" fmla="val 5241"/>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clientData/>
  </xdr:twoCellAnchor>
  <xdr:twoCellAnchor>
    <xdr:from>
      <xdr:col>12</xdr:col>
      <xdr:colOff>509789</xdr:colOff>
      <xdr:row>7</xdr:row>
      <xdr:rowOff>103799</xdr:rowOff>
    </xdr:from>
    <xdr:to>
      <xdr:col>17</xdr:col>
      <xdr:colOff>312026</xdr:colOff>
      <xdr:row>19</xdr:row>
      <xdr:rowOff>114958</xdr:rowOff>
    </xdr:to>
    <xdr:sp macro="" textlink="">
      <xdr:nvSpPr>
        <xdr:cNvPr id="44" name="Shape 6">
          <a:extLst>
            <a:ext uri="{FF2B5EF4-FFF2-40B4-BE49-F238E27FC236}">
              <a16:creationId xmlns:a16="http://schemas.microsoft.com/office/drawing/2014/main" id="{E73A6823-73DF-4EE6-A945-D659D56169E9}"/>
            </a:ext>
          </a:extLst>
        </xdr:cNvPr>
        <xdr:cNvSpPr/>
      </xdr:nvSpPr>
      <xdr:spPr>
        <a:xfrm>
          <a:off x="7754155" y="1418517"/>
          <a:ext cx="2820723" cy="2264962"/>
        </a:xfrm>
        <a:prstGeom prst="roundRect">
          <a:avLst>
            <a:gd name="adj" fmla="val 5162"/>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clientData/>
  </xdr:twoCellAnchor>
  <xdr:twoCellAnchor>
    <xdr:from>
      <xdr:col>12</xdr:col>
      <xdr:colOff>523204</xdr:colOff>
      <xdr:row>20</xdr:row>
      <xdr:rowOff>0</xdr:rowOff>
    </xdr:from>
    <xdr:to>
      <xdr:col>17</xdr:col>
      <xdr:colOff>295603</xdr:colOff>
      <xdr:row>39</xdr:row>
      <xdr:rowOff>49267</xdr:rowOff>
    </xdr:to>
    <xdr:sp macro="" textlink="">
      <xdr:nvSpPr>
        <xdr:cNvPr id="45" name="Shape 6">
          <a:extLst>
            <a:ext uri="{FF2B5EF4-FFF2-40B4-BE49-F238E27FC236}">
              <a16:creationId xmlns:a16="http://schemas.microsoft.com/office/drawing/2014/main" id="{4C00DF9D-F522-40EB-A971-9188B27B35CE}"/>
            </a:ext>
          </a:extLst>
        </xdr:cNvPr>
        <xdr:cNvSpPr/>
      </xdr:nvSpPr>
      <xdr:spPr>
        <a:xfrm>
          <a:off x="7767570" y="3756338"/>
          <a:ext cx="2790885" cy="3617788"/>
        </a:xfrm>
        <a:prstGeom prst="roundRect">
          <a:avLst>
            <a:gd name="adj" fmla="val 4731"/>
          </a:avLst>
        </a:prstGeom>
        <a:solidFill>
          <a:schemeClr val="bg1">
            <a:lumMod val="95000"/>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b="1">
            <a:solidFill>
              <a:srgbClr val="7030A0"/>
            </a:solidFill>
            <a:latin typeface="Lato"/>
            <a:ea typeface="Lato"/>
            <a:cs typeface="Lato"/>
            <a:sym typeface="Lato"/>
          </a:endParaRPr>
        </a:p>
      </xdr:txBody>
    </xdr:sp>
    <xdr:clientData/>
  </xdr:twoCellAnchor>
  <xdr:twoCellAnchor>
    <xdr:from>
      <xdr:col>2</xdr:col>
      <xdr:colOff>482958</xdr:colOff>
      <xdr:row>3</xdr:row>
      <xdr:rowOff>67077</xdr:rowOff>
    </xdr:from>
    <xdr:to>
      <xdr:col>12</xdr:col>
      <xdr:colOff>482958</xdr:colOff>
      <xdr:row>5</xdr:row>
      <xdr:rowOff>53661</xdr:rowOff>
    </xdr:to>
    <xdr:sp macro="" textlink="">
      <xdr:nvSpPr>
        <xdr:cNvPr id="70" name="TextBox 69">
          <a:extLst>
            <a:ext uri="{FF2B5EF4-FFF2-40B4-BE49-F238E27FC236}">
              <a16:creationId xmlns:a16="http://schemas.microsoft.com/office/drawing/2014/main" id="{2E50D91C-C9FB-BC60-D6B6-97B7365024A8}"/>
            </a:ext>
          </a:extLst>
        </xdr:cNvPr>
        <xdr:cNvSpPr txBox="1"/>
      </xdr:nvSpPr>
      <xdr:spPr>
        <a:xfrm>
          <a:off x="1690352" y="630528"/>
          <a:ext cx="6036972" cy="362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4000" b="1">
              <a:latin typeface="Times New Roman" panose="02020603050405020304" pitchFamily="18" charset="0"/>
              <a:cs typeface="Times New Roman" panose="02020603050405020304" pitchFamily="18" charset="0"/>
            </a:rPr>
            <a:t>Sales Excel Dashboard </a:t>
          </a:r>
        </a:p>
      </xdr:txBody>
    </xdr:sp>
    <xdr:clientData/>
  </xdr:twoCellAnchor>
  <xdr:twoCellAnchor>
    <xdr:from>
      <xdr:col>14</xdr:col>
      <xdr:colOff>408339</xdr:colOff>
      <xdr:row>2</xdr:row>
      <xdr:rowOff>185327</xdr:rowOff>
    </xdr:from>
    <xdr:to>
      <xdr:col>24</xdr:col>
      <xdr:colOff>408340</xdr:colOff>
      <xdr:row>5</xdr:row>
      <xdr:rowOff>98960</xdr:rowOff>
    </xdr:to>
    <xdr:sp macro="" textlink="">
      <xdr:nvSpPr>
        <xdr:cNvPr id="71" name="TextBox 70">
          <a:extLst>
            <a:ext uri="{FF2B5EF4-FFF2-40B4-BE49-F238E27FC236}">
              <a16:creationId xmlns:a16="http://schemas.microsoft.com/office/drawing/2014/main" id="{958AAA30-7561-491C-9591-6D5F0E4BB732}"/>
            </a:ext>
          </a:extLst>
        </xdr:cNvPr>
        <xdr:cNvSpPr txBox="1"/>
      </xdr:nvSpPr>
      <xdr:spPr>
        <a:xfrm>
          <a:off x="8894248" y="556431"/>
          <a:ext cx="6061365" cy="4702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200" b="1">
              <a:latin typeface="Times New Roman" panose="02020603050405020304" pitchFamily="18" charset="0"/>
              <a:cs typeface="Times New Roman" panose="02020603050405020304" pitchFamily="18" charset="0"/>
            </a:rPr>
            <a:t>By</a:t>
          </a:r>
          <a:r>
            <a:rPr lang="en-US" sz="3200" b="1" baseline="0">
              <a:latin typeface="Times New Roman" panose="02020603050405020304" pitchFamily="18" charset="0"/>
              <a:cs typeface="Times New Roman" panose="02020603050405020304" pitchFamily="18" charset="0"/>
            </a:rPr>
            <a:t> Lean Excel Solution</a:t>
          </a:r>
          <a:endParaRPr lang="en-US" sz="3200" b="1">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429296</xdr:colOff>
      <xdr:row>16</xdr:row>
      <xdr:rowOff>53662</xdr:rowOff>
    </xdr:from>
    <xdr:to>
      <xdr:col>3</xdr:col>
      <xdr:colOff>321971</xdr:colOff>
      <xdr:row>28</xdr:row>
      <xdr:rowOff>187816</xdr:rowOff>
    </xdr:to>
    <mc:AlternateContent xmlns:mc="http://schemas.openxmlformats.org/markup-compatibility/2006" xmlns:a14="http://schemas.microsoft.com/office/drawing/2010/main">
      <mc:Choice Requires="a14">
        <xdr:graphicFrame macro="">
          <xdr:nvGraphicFramePr>
            <xdr:cNvPr id="72" name="Region 1">
              <a:extLst>
                <a:ext uri="{FF2B5EF4-FFF2-40B4-BE49-F238E27FC236}">
                  <a16:creationId xmlns:a16="http://schemas.microsoft.com/office/drawing/2014/main" id="{2A6EC649-B1E4-43EA-8CDB-05959480ED8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509787" y="3181754"/>
              <a:ext cx="1494907" cy="23695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479364</xdr:colOff>
      <xdr:row>8</xdr:row>
      <xdr:rowOff>13416</xdr:rowOff>
    </xdr:from>
    <xdr:to>
      <xdr:col>7</xdr:col>
      <xdr:colOff>412287</xdr:colOff>
      <xdr:row>15</xdr:row>
      <xdr:rowOff>53661</xdr:rowOff>
    </xdr:to>
    <mc:AlternateContent xmlns:mc="http://schemas.openxmlformats.org/markup-compatibility/2006">
      <mc:Choice xmlns:a14="http://schemas.microsoft.com/office/drawing/2010/main" Requires="a14">
        <xdr:graphicFrame macro="">
          <xdr:nvGraphicFramePr>
            <xdr:cNvPr id="73" name="Month 1">
              <a:extLst>
                <a:ext uri="{FF2B5EF4-FFF2-40B4-BE49-F238E27FC236}">
                  <a16:creationId xmlns:a16="http://schemas.microsoft.com/office/drawing/2014/main" id="{348795B0-D93D-4B92-9B4F-D782E68FD7F9}"/>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479364" y="1510202"/>
              <a:ext cx="4219173" cy="13499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555826</xdr:colOff>
      <xdr:row>17</xdr:row>
      <xdr:rowOff>157113</xdr:rowOff>
    </xdr:from>
    <xdr:to>
      <xdr:col>12</xdr:col>
      <xdr:colOff>321972</xdr:colOff>
      <xdr:row>29</xdr:row>
      <xdr:rowOff>26831</xdr:rowOff>
    </xdr:to>
    <xdr:graphicFrame macro="">
      <xdr:nvGraphicFramePr>
        <xdr:cNvPr id="74" name="Chart 73">
          <a:extLst>
            <a:ext uri="{FF2B5EF4-FFF2-40B4-BE49-F238E27FC236}">
              <a16:creationId xmlns:a16="http://schemas.microsoft.com/office/drawing/2014/main" id="{14A06451-3217-4BCE-BC6C-893EC43B7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498039</xdr:colOff>
      <xdr:row>8</xdr:row>
      <xdr:rowOff>161862</xdr:rowOff>
    </xdr:from>
    <xdr:to>
      <xdr:col>24</xdr:col>
      <xdr:colOff>267696</xdr:colOff>
      <xdr:row>21</xdr:row>
      <xdr:rowOff>24902</xdr:rowOff>
    </xdr:to>
    <xdr:graphicFrame macro="">
      <xdr:nvGraphicFramePr>
        <xdr:cNvPr id="76" name="Chart 75">
          <a:extLst>
            <a:ext uri="{FF2B5EF4-FFF2-40B4-BE49-F238E27FC236}">
              <a16:creationId xmlns:a16="http://schemas.microsoft.com/office/drawing/2014/main" id="{242BB56E-2ABC-4B25-8774-649EC7DB92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467591</xdr:colOff>
      <xdr:row>24</xdr:row>
      <xdr:rowOff>78556</xdr:rowOff>
    </xdr:from>
    <xdr:to>
      <xdr:col>24</xdr:col>
      <xdr:colOff>121228</xdr:colOff>
      <xdr:row>39</xdr:row>
      <xdr:rowOff>9819</xdr:rowOff>
    </xdr:to>
    <mc:AlternateContent xmlns:mc="http://schemas.openxmlformats.org/markup-compatibility/2006">
      <mc:Choice xmlns:cx4="http://schemas.microsoft.com/office/drawing/2016/5/10/chartex" Requires="cx4">
        <xdr:graphicFrame macro="">
          <xdr:nvGraphicFramePr>
            <xdr:cNvPr id="77" name="Chart 76">
              <a:extLst>
                <a:ext uri="{FF2B5EF4-FFF2-40B4-BE49-F238E27FC236}">
                  <a16:creationId xmlns:a16="http://schemas.microsoft.com/office/drawing/2014/main" id="{E353AF19-2424-4B6D-8E54-6C7B242C55C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817436" y="4556288"/>
              <a:ext cx="3915338" cy="272984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569536</xdr:colOff>
      <xdr:row>21</xdr:row>
      <xdr:rowOff>166933</xdr:rowOff>
    </xdr:from>
    <xdr:to>
      <xdr:col>17</xdr:col>
      <xdr:colOff>265129</xdr:colOff>
      <xdr:row>39</xdr:row>
      <xdr:rowOff>39279</xdr:rowOff>
    </xdr:to>
    <xdr:graphicFrame macro="">
      <xdr:nvGraphicFramePr>
        <xdr:cNvPr id="78" name="Chart 77">
          <a:extLst>
            <a:ext uri="{FF2B5EF4-FFF2-40B4-BE49-F238E27FC236}">
              <a16:creationId xmlns:a16="http://schemas.microsoft.com/office/drawing/2014/main" id="{71FD32C6-8239-48E3-94FA-27604B52EA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392784</xdr:colOff>
      <xdr:row>31</xdr:row>
      <xdr:rowOff>29459</xdr:rowOff>
    </xdr:from>
    <xdr:to>
      <xdr:col>12</xdr:col>
      <xdr:colOff>451701</xdr:colOff>
      <xdr:row>39</xdr:row>
      <xdr:rowOff>19640</xdr:rowOff>
    </xdr:to>
    <xdr:graphicFrame macro="">
      <xdr:nvGraphicFramePr>
        <xdr:cNvPr id="79" name="Chart 78">
          <a:extLst>
            <a:ext uri="{FF2B5EF4-FFF2-40B4-BE49-F238E27FC236}">
              <a16:creationId xmlns:a16="http://schemas.microsoft.com/office/drawing/2014/main" id="{238AACC0-D612-4796-8468-4B6625B4BA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156150</xdr:colOff>
      <xdr:row>8</xdr:row>
      <xdr:rowOff>137824</xdr:rowOff>
    </xdr:from>
    <xdr:to>
      <xdr:col>12</xdr:col>
      <xdr:colOff>104385</xdr:colOff>
      <xdr:row>10</xdr:row>
      <xdr:rowOff>124409</xdr:rowOff>
    </xdr:to>
    <xdr:sp macro="" textlink="">
      <xdr:nvSpPr>
        <xdr:cNvPr id="82" name="TextBox 81">
          <a:extLst>
            <a:ext uri="{FF2B5EF4-FFF2-40B4-BE49-F238E27FC236}">
              <a16:creationId xmlns:a16="http://schemas.microsoft.com/office/drawing/2014/main" id="{800B2370-7FE0-49D7-8A52-786FC17F014F}"/>
            </a:ext>
          </a:extLst>
        </xdr:cNvPr>
        <xdr:cNvSpPr txBox="1"/>
      </xdr:nvSpPr>
      <xdr:spPr>
        <a:xfrm>
          <a:off x="5013900" y="1661824"/>
          <a:ext cx="2377110" cy="3675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b="0">
              <a:solidFill>
                <a:schemeClr val="accent5">
                  <a:lumMod val="75000"/>
                </a:schemeClr>
              </a:solidFill>
              <a:latin typeface="Times New Roman" panose="02020603050405020304" pitchFamily="18" charset="0"/>
              <a:cs typeface="Times New Roman" panose="02020603050405020304" pitchFamily="18" charset="0"/>
            </a:rPr>
            <a:t>Total</a:t>
          </a:r>
          <a:r>
            <a:rPr lang="en-US" sz="2400" b="0" baseline="0">
              <a:solidFill>
                <a:schemeClr val="accent5">
                  <a:lumMod val="75000"/>
                </a:schemeClr>
              </a:solidFill>
              <a:latin typeface="Times New Roman" panose="02020603050405020304" pitchFamily="18" charset="0"/>
              <a:cs typeface="Times New Roman" panose="02020603050405020304" pitchFamily="18" charset="0"/>
            </a:rPr>
            <a:t> Sales</a:t>
          </a:r>
          <a:endParaRPr lang="en-US" sz="2400" b="0">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583187</xdr:colOff>
      <xdr:row>9</xdr:row>
      <xdr:rowOff>93037</xdr:rowOff>
    </xdr:from>
    <xdr:to>
      <xdr:col>17</xdr:col>
      <xdr:colOff>152461</xdr:colOff>
      <xdr:row>9</xdr:row>
      <xdr:rowOff>103390</xdr:rowOff>
    </xdr:to>
    <xdr:cxnSp macro="">
      <xdr:nvCxnSpPr>
        <xdr:cNvPr id="83" name="Straight Connector 82">
          <a:extLst>
            <a:ext uri="{FF2B5EF4-FFF2-40B4-BE49-F238E27FC236}">
              <a16:creationId xmlns:a16="http://schemas.microsoft.com/office/drawing/2014/main" id="{959B7BF0-28BD-4771-8A9A-DB47C66656C1}"/>
            </a:ext>
          </a:extLst>
        </xdr:cNvPr>
        <xdr:cNvCxnSpPr/>
      </xdr:nvCxnSpPr>
      <xdr:spPr>
        <a:xfrm flipV="1">
          <a:off x="7863940" y="1795794"/>
          <a:ext cx="2602922" cy="1035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171547</xdr:colOff>
      <xdr:row>11</xdr:row>
      <xdr:rowOff>35790</xdr:rowOff>
    </xdr:from>
    <xdr:to>
      <xdr:col>12</xdr:col>
      <xdr:colOff>119782</xdr:colOff>
      <xdr:row>13</xdr:row>
      <xdr:rowOff>22374</xdr:rowOff>
    </xdr:to>
    <xdr:sp macro="" textlink="'Analysis Sheet'!$A$3">
      <xdr:nvSpPr>
        <xdr:cNvPr id="84" name="TextBox 83">
          <a:extLst>
            <a:ext uri="{FF2B5EF4-FFF2-40B4-BE49-F238E27FC236}">
              <a16:creationId xmlns:a16="http://schemas.microsoft.com/office/drawing/2014/main" id="{7C8F0E8B-C28E-432A-B75B-FA1E9A074569}"/>
            </a:ext>
          </a:extLst>
        </xdr:cNvPr>
        <xdr:cNvSpPr txBox="1"/>
      </xdr:nvSpPr>
      <xdr:spPr>
        <a:xfrm>
          <a:off x="5025383" y="2116937"/>
          <a:ext cx="2375152" cy="36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7A1AF6B-0B70-4975-8BC5-E162C01920A0}" type="TxLink">
            <a:rPr lang="en-US" sz="3200" b="1" i="0" u="none" strike="noStrike">
              <a:solidFill>
                <a:srgbClr val="000000"/>
              </a:solidFill>
              <a:latin typeface="Calibri"/>
              <a:ea typeface="Calibri"/>
              <a:cs typeface="Calibri"/>
            </a:rPr>
            <a:pPr algn="ctr"/>
            <a:t>984,571</a:t>
          </a:fld>
          <a:endParaRPr lang="en-US" sz="60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125879</xdr:colOff>
      <xdr:row>7</xdr:row>
      <xdr:rowOff>140174</xdr:rowOff>
    </xdr:from>
    <xdr:to>
      <xdr:col>17</xdr:col>
      <xdr:colOff>74113</xdr:colOff>
      <xdr:row>9</xdr:row>
      <xdr:rowOff>126758</xdr:rowOff>
    </xdr:to>
    <xdr:sp macro="" textlink="">
      <xdr:nvSpPr>
        <xdr:cNvPr id="85" name="TextBox 84">
          <a:extLst>
            <a:ext uri="{FF2B5EF4-FFF2-40B4-BE49-F238E27FC236}">
              <a16:creationId xmlns:a16="http://schemas.microsoft.com/office/drawing/2014/main" id="{7E690010-15F7-4DA1-B175-0EAB433A2EA9}"/>
            </a:ext>
          </a:extLst>
        </xdr:cNvPr>
        <xdr:cNvSpPr txBox="1"/>
      </xdr:nvSpPr>
      <xdr:spPr>
        <a:xfrm>
          <a:off x="8013362" y="1464540"/>
          <a:ext cx="2375152" cy="3649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Times New Roman" panose="02020603050405020304" pitchFamily="18" charset="0"/>
              <a:cs typeface="Times New Roman" panose="02020603050405020304" pitchFamily="18" charset="0"/>
            </a:rPr>
            <a:t>Top</a:t>
          </a:r>
          <a:r>
            <a:rPr lang="en-US" sz="1800" b="1" baseline="0">
              <a:solidFill>
                <a:schemeClr val="accent5">
                  <a:lumMod val="75000"/>
                </a:schemeClr>
              </a:solidFill>
              <a:latin typeface="Times New Roman" panose="02020603050405020304" pitchFamily="18" charset="0"/>
              <a:cs typeface="Times New Roman" panose="02020603050405020304" pitchFamily="18" charset="0"/>
            </a:rPr>
            <a:t> 3 Customers</a:t>
          </a:r>
          <a:endParaRPr lang="en-US" sz="18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13</xdr:col>
      <xdr:colOff>11588</xdr:colOff>
      <xdr:row>10</xdr:row>
      <xdr:rowOff>74661</xdr:rowOff>
    </xdr:from>
    <xdr:to>
      <xdr:col>15</xdr:col>
      <xdr:colOff>583269</xdr:colOff>
      <xdr:row>12</xdr:row>
      <xdr:rowOff>61246</xdr:rowOff>
    </xdr:to>
    <xdr:sp macro="" textlink="'Analysis Sheet'!I8">
      <xdr:nvSpPr>
        <xdr:cNvPr id="86" name="TextBox 85">
          <a:extLst>
            <a:ext uri="{FF2B5EF4-FFF2-40B4-BE49-F238E27FC236}">
              <a16:creationId xmlns:a16="http://schemas.microsoft.com/office/drawing/2014/main" id="{889F3A3E-EDD5-4C5B-A4B6-C7CA503075C5}"/>
            </a:ext>
          </a:extLst>
        </xdr:cNvPr>
        <xdr:cNvSpPr txBox="1"/>
      </xdr:nvSpPr>
      <xdr:spPr>
        <a:xfrm>
          <a:off x="7910769" y="1990609"/>
          <a:ext cx="1786940" cy="36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E214C7E-15CE-4AEF-AF5B-1C9E4830CCA0}" type="TxLink">
            <a:rPr lang="en-US" sz="1600" b="0">
              <a:solidFill>
                <a:schemeClr val="accent5">
                  <a:lumMod val="75000"/>
                </a:schemeClr>
              </a:solidFill>
              <a:latin typeface="Times New Roman" panose="02020603050405020304" pitchFamily="18" charset="0"/>
              <a:ea typeface="+mn-ea"/>
              <a:cs typeface="Times New Roman" panose="02020603050405020304" pitchFamily="18" charset="0"/>
            </a:rPr>
            <a:pPr marL="0" indent="0" algn="ctr"/>
            <a:t>Customer33</a:t>
          </a:fld>
          <a:endParaRPr lang="en-US" sz="1600" b="0">
            <a:solidFill>
              <a:schemeClr val="accent5">
                <a:lumMod val="75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13</xdr:col>
      <xdr:colOff>29448</xdr:colOff>
      <xdr:row>12</xdr:row>
      <xdr:rowOff>148072</xdr:rowOff>
    </xdr:from>
    <xdr:to>
      <xdr:col>15</xdr:col>
      <xdr:colOff>540494</xdr:colOff>
      <xdr:row>14</xdr:row>
      <xdr:rowOff>134656</xdr:rowOff>
    </xdr:to>
    <xdr:sp macro="" textlink="'Analysis Sheet'!I9">
      <xdr:nvSpPr>
        <xdr:cNvPr id="87" name="TextBox 86">
          <a:extLst>
            <a:ext uri="{FF2B5EF4-FFF2-40B4-BE49-F238E27FC236}">
              <a16:creationId xmlns:a16="http://schemas.microsoft.com/office/drawing/2014/main" id="{69FB8621-DE99-49F1-B824-5847A48C1517}"/>
            </a:ext>
          </a:extLst>
        </xdr:cNvPr>
        <xdr:cNvSpPr txBox="1"/>
      </xdr:nvSpPr>
      <xdr:spPr>
        <a:xfrm>
          <a:off x="7928629" y="2447210"/>
          <a:ext cx="1726305" cy="3697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5445A4E-46AA-4BF7-8DBC-98A1290364EF}" type="TxLink">
            <a:rPr lang="en-US" sz="1600" b="0">
              <a:solidFill>
                <a:schemeClr val="accent5">
                  <a:lumMod val="75000"/>
                </a:schemeClr>
              </a:solidFill>
              <a:latin typeface="Times New Roman" panose="02020603050405020304" pitchFamily="18" charset="0"/>
              <a:ea typeface="+mn-ea"/>
              <a:cs typeface="Times New Roman" panose="02020603050405020304" pitchFamily="18" charset="0"/>
            </a:rPr>
            <a:pPr marL="0" indent="0" algn="ctr"/>
            <a:t>Customer22</a:t>
          </a:fld>
          <a:endParaRPr lang="en-US" sz="1600" b="0">
            <a:solidFill>
              <a:schemeClr val="accent5">
                <a:lumMod val="75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13</xdr:col>
      <xdr:colOff>29448</xdr:colOff>
      <xdr:row>15</xdr:row>
      <xdr:rowOff>60813</xdr:rowOff>
    </xdr:from>
    <xdr:to>
      <xdr:col>15</xdr:col>
      <xdr:colOff>524572</xdr:colOff>
      <xdr:row>17</xdr:row>
      <xdr:rowOff>47398</xdr:rowOff>
    </xdr:to>
    <xdr:sp macro="" textlink="'Analysis Sheet'!I10">
      <xdr:nvSpPr>
        <xdr:cNvPr id="88" name="TextBox 87">
          <a:extLst>
            <a:ext uri="{FF2B5EF4-FFF2-40B4-BE49-F238E27FC236}">
              <a16:creationId xmlns:a16="http://schemas.microsoft.com/office/drawing/2014/main" id="{7908E60A-CCE9-402E-866D-D1CB250DD370}"/>
            </a:ext>
          </a:extLst>
        </xdr:cNvPr>
        <xdr:cNvSpPr txBox="1"/>
      </xdr:nvSpPr>
      <xdr:spPr>
        <a:xfrm>
          <a:off x="7928629" y="2934735"/>
          <a:ext cx="1710383" cy="36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C38F99-AEE6-46FE-8560-0986A36825A0}" type="TxLink">
            <a:rPr lang="en-US" sz="1600" b="0">
              <a:solidFill>
                <a:schemeClr val="accent5">
                  <a:lumMod val="75000"/>
                </a:schemeClr>
              </a:solidFill>
              <a:latin typeface="Times New Roman" panose="02020603050405020304" pitchFamily="18" charset="0"/>
              <a:ea typeface="+mn-ea"/>
              <a:cs typeface="Times New Roman" panose="02020603050405020304" pitchFamily="18" charset="0"/>
            </a:rPr>
            <a:pPr marL="0" indent="0" algn="ctr"/>
            <a:t>Customer23</a:t>
          </a:fld>
          <a:endParaRPr lang="en-US" sz="1600" b="0">
            <a:solidFill>
              <a:schemeClr val="accent5">
                <a:lumMod val="75000"/>
              </a:schemeClr>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14</xdr:col>
      <xdr:colOff>577161</xdr:colOff>
      <xdr:row>10</xdr:row>
      <xdr:rowOff>55378</xdr:rowOff>
    </xdr:from>
    <xdr:to>
      <xdr:col>17</xdr:col>
      <xdr:colOff>541213</xdr:colOff>
      <xdr:row>12</xdr:row>
      <xdr:rowOff>41963</xdr:rowOff>
    </xdr:to>
    <xdr:sp macro="" textlink="'Analysis Sheet'!J8">
      <xdr:nvSpPr>
        <xdr:cNvPr id="89" name="TextBox 88">
          <a:extLst>
            <a:ext uri="{FF2B5EF4-FFF2-40B4-BE49-F238E27FC236}">
              <a16:creationId xmlns:a16="http://schemas.microsoft.com/office/drawing/2014/main" id="{FD4762A6-9606-477F-B7B8-827398B719FC}"/>
            </a:ext>
          </a:extLst>
        </xdr:cNvPr>
        <xdr:cNvSpPr txBox="1"/>
      </xdr:nvSpPr>
      <xdr:spPr>
        <a:xfrm>
          <a:off x="9083971" y="1971326"/>
          <a:ext cx="1786940" cy="36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CB7B58C-B54B-4CA0-A121-8A9E392500C4}" type="TxLink">
            <a:rPr lang="en-US" sz="2400" b="1" i="0" u="none" strike="noStrike">
              <a:solidFill>
                <a:sysClr val="windowText" lastClr="000000"/>
              </a:solidFill>
              <a:latin typeface="Calibri"/>
              <a:ea typeface="Calibri"/>
              <a:cs typeface="Calibri"/>
            </a:rPr>
            <a:pPr marL="0" indent="0" algn="ctr"/>
            <a:t>60,929</a:t>
          </a:fld>
          <a:endParaRPr lang="en-US" sz="2400" b="1" i="0" u="none" strike="noStrike">
            <a:solidFill>
              <a:sysClr val="windowText" lastClr="000000"/>
            </a:solidFill>
            <a:latin typeface="Calibri"/>
            <a:ea typeface="Calibri"/>
            <a:cs typeface="Calibri"/>
          </a:endParaRPr>
        </a:p>
      </xdr:txBody>
    </xdr:sp>
    <xdr:clientData/>
  </xdr:twoCellAnchor>
  <xdr:twoCellAnchor>
    <xdr:from>
      <xdr:col>14</xdr:col>
      <xdr:colOff>577161</xdr:colOff>
      <xdr:row>12</xdr:row>
      <xdr:rowOff>94669</xdr:rowOff>
    </xdr:from>
    <xdr:to>
      <xdr:col>17</xdr:col>
      <xdr:colOff>541213</xdr:colOff>
      <xdr:row>14</xdr:row>
      <xdr:rowOff>81254</xdr:rowOff>
    </xdr:to>
    <xdr:sp macro="" textlink="'Analysis Sheet'!J9">
      <xdr:nvSpPr>
        <xdr:cNvPr id="90" name="TextBox 89">
          <a:extLst>
            <a:ext uri="{FF2B5EF4-FFF2-40B4-BE49-F238E27FC236}">
              <a16:creationId xmlns:a16="http://schemas.microsoft.com/office/drawing/2014/main" id="{6AA185FF-010E-435C-933D-20DA1F2C9E62}"/>
            </a:ext>
          </a:extLst>
        </xdr:cNvPr>
        <xdr:cNvSpPr txBox="1"/>
      </xdr:nvSpPr>
      <xdr:spPr>
        <a:xfrm>
          <a:off x="9083971" y="2393807"/>
          <a:ext cx="1786940" cy="36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4FE7D88-B76A-4B87-9247-3D87631EE6B6}" type="TxLink">
            <a:rPr lang="en-US" sz="2400" b="1" i="0" u="none" strike="noStrike">
              <a:solidFill>
                <a:sysClr val="windowText" lastClr="000000"/>
              </a:solidFill>
              <a:latin typeface="Calibri"/>
              <a:ea typeface="Calibri"/>
              <a:cs typeface="Calibri"/>
            </a:rPr>
            <a:pPr marL="0" indent="0" algn="ctr"/>
            <a:t>45,113</a:t>
          </a:fld>
          <a:endParaRPr lang="en-US" sz="2400" b="1" i="0" u="none" strike="noStrike">
            <a:solidFill>
              <a:sysClr val="windowText" lastClr="000000"/>
            </a:solidFill>
            <a:latin typeface="Calibri"/>
            <a:ea typeface="Calibri"/>
            <a:cs typeface="Calibri"/>
          </a:endParaRPr>
        </a:p>
      </xdr:txBody>
    </xdr:sp>
    <xdr:clientData/>
  </xdr:twoCellAnchor>
  <xdr:twoCellAnchor>
    <xdr:from>
      <xdr:col>14</xdr:col>
      <xdr:colOff>577161</xdr:colOff>
      <xdr:row>15</xdr:row>
      <xdr:rowOff>44663</xdr:rowOff>
    </xdr:from>
    <xdr:to>
      <xdr:col>17</xdr:col>
      <xdr:colOff>541213</xdr:colOff>
      <xdr:row>17</xdr:row>
      <xdr:rowOff>31248</xdr:rowOff>
    </xdr:to>
    <xdr:sp macro="" textlink="'Analysis Sheet'!J10">
      <xdr:nvSpPr>
        <xdr:cNvPr id="91" name="TextBox 90">
          <a:extLst>
            <a:ext uri="{FF2B5EF4-FFF2-40B4-BE49-F238E27FC236}">
              <a16:creationId xmlns:a16="http://schemas.microsoft.com/office/drawing/2014/main" id="{A38AEC27-9FC5-4230-8B7C-CF49CCFDEFAC}"/>
            </a:ext>
          </a:extLst>
        </xdr:cNvPr>
        <xdr:cNvSpPr txBox="1"/>
      </xdr:nvSpPr>
      <xdr:spPr>
        <a:xfrm>
          <a:off x="9083971" y="2918585"/>
          <a:ext cx="1786940" cy="36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7B849F7-8886-4F2E-96F2-994534D8FD29}" type="TxLink">
            <a:rPr lang="en-US" sz="2400" b="1" i="0" u="none" strike="noStrike">
              <a:solidFill>
                <a:sysClr val="windowText" lastClr="000000"/>
              </a:solidFill>
              <a:latin typeface="Calibri"/>
              <a:ea typeface="Calibri"/>
              <a:cs typeface="Calibri"/>
            </a:rPr>
            <a:pPr marL="0" indent="0" algn="ctr"/>
            <a:t>43,063</a:t>
          </a:fld>
          <a:endParaRPr lang="en-US" sz="2400" b="1" i="0" u="none" strike="noStrike">
            <a:solidFill>
              <a:sysClr val="windowText" lastClr="000000"/>
            </a:solidFill>
            <a:latin typeface="Calibri"/>
            <a:ea typeface="Calibri"/>
            <a:cs typeface="Calibri"/>
          </a:endParaRPr>
        </a:p>
      </xdr:txBody>
    </xdr:sp>
    <xdr:clientData/>
  </xdr:twoCellAnchor>
  <xdr:twoCellAnchor>
    <xdr:from>
      <xdr:col>13</xdr:col>
      <xdr:colOff>27371</xdr:colOff>
      <xdr:row>11</xdr:row>
      <xdr:rowOff>10948</xdr:rowOff>
    </xdr:from>
    <xdr:to>
      <xdr:col>13</xdr:col>
      <xdr:colOff>202543</xdr:colOff>
      <xdr:row>11</xdr:row>
      <xdr:rowOff>175173</xdr:rowOff>
    </xdr:to>
    <xdr:sp macro="" textlink="">
      <xdr:nvSpPr>
        <xdr:cNvPr id="92" name="Oval 91">
          <a:extLst>
            <a:ext uri="{FF2B5EF4-FFF2-40B4-BE49-F238E27FC236}">
              <a16:creationId xmlns:a16="http://schemas.microsoft.com/office/drawing/2014/main" id="{CC8E0471-AEB7-C074-CA7F-0CF56C26AA26}"/>
            </a:ext>
          </a:extLst>
        </xdr:cNvPr>
        <xdr:cNvSpPr/>
      </xdr:nvSpPr>
      <xdr:spPr>
        <a:xfrm>
          <a:off x="7926552" y="2118491"/>
          <a:ext cx="175172" cy="1642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27371</xdr:colOff>
      <xdr:row>13</xdr:row>
      <xdr:rowOff>64813</xdr:rowOff>
    </xdr:from>
    <xdr:to>
      <xdr:col>13</xdr:col>
      <xdr:colOff>202543</xdr:colOff>
      <xdr:row>14</xdr:row>
      <xdr:rowOff>37443</xdr:rowOff>
    </xdr:to>
    <xdr:sp macro="" textlink="">
      <xdr:nvSpPr>
        <xdr:cNvPr id="93" name="Oval 92">
          <a:extLst>
            <a:ext uri="{FF2B5EF4-FFF2-40B4-BE49-F238E27FC236}">
              <a16:creationId xmlns:a16="http://schemas.microsoft.com/office/drawing/2014/main" id="{74740C23-4527-4338-B5A6-5FF9242E9574}"/>
            </a:ext>
          </a:extLst>
        </xdr:cNvPr>
        <xdr:cNvSpPr/>
      </xdr:nvSpPr>
      <xdr:spPr>
        <a:xfrm>
          <a:off x="7926552" y="2555546"/>
          <a:ext cx="175172" cy="1642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27371</xdr:colOff>
      <xdr:row>15</xdr:row>
      <xdr:rowOff>189843</xdr:rowOff>
    </xdr:from>
    <xdr:to>
      <xdr:col>13</xdr:col>
      <xdr:colOff>202543</xdr:colOff>
      <xdr:row>16</xdr:row>
      <xdr:rowOff>162473</xdr:rowOff>
    </xdr:to>
    <xdr:sp macro="" textlink="">
      <xdr:nvSpPr>
        <xdr:cNvPr id="94" name="Oval 93">
          <a:extLst>
            <a:ext uri="{FF2B5EF4-FFF2-40B4-BE49-F238E27FC236}">
              <a16:creationId xmlns:a16="http://schemas.microsoft.com/office/drawing/2014/main" id="{D3AB07A3-4EA9-4034-B1EB-CC2568AF7230}"/>
            </a:ext>
          </a:extLst>
        </xdr:cNvPr>
        <xdr:cNvSpPr/>
      </xdr:nvSpPr>
      <xdr:spPr>
        <a:xfrm>
          <a:off x="7926552" y="3063765"/>
          <a:ext cx="175172" cy="164225"/>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437696</xdr:colOff>
      <xdr:row>10</xdr:row>
      <xdr:rowOff>95682</xdr:rowOff>
    </xdr:from>
    <xdr:to>
      <xdr:col>14</xdr:col>
      <xdr:colOff>401748</xdr:colOff>
      <xdr:row>12</xdr:row>
      <xdr:rowOff>82267</xdr:rowOff>
    </xdr:to>
    <xdr:sp macro="" textlink="'Analysis Sheet'!I8">
      <xdr:nvSpPr>
        <xdr:cNvPr id="95" name="TextBox 94">
          <a:extLst>
            <a:ext uri="{FF2B5EF4-FFF2-40B4-BE49-F238E27FC236}">
              <a16:creationId xmlns:a16="http://schemas.microsoft.com/office/drawing/2014/main" id="{8BE149CA-4AD8-4AB3-81C2-567631C5E1C0}"/>
            </a:ext>
          </a:extLst>
        </xdr:cNvPr>
        <xdr:cNvSpPr txBox="1"/>
      </xdr:nvSpPr>
      <xdr:spPr>
        <a:xfrm>
          <a:off x="7121618" y="2011630"/>
          <a:ext cx="1786940" cy="36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0">
              <a:solidFill>
                <a:schemeClr val="bg1"/>
              </a:solidFill>
              <a:latin typeface="Times New Roman" panose="02020603050405020304" pitchFamily="18" charset="0"/>
              <a:ea typeface="+mn-ea"/>
              <a:cs typeface="Times New Roman" panose="02020603050405020304" pitchFamily="18" charset="0"/>
            </a:rPr>
            <a:t>1</a:t>
          </a:r>
        </a:p>
      </xdr:txBody>
    </xdr:sp>
    <xdr:clientData/>
  </xdr:twoCellAnchor>
  <xdr:twoCellAnchor>
    <xdr:from>
      <xdr:col>11</xdr:col>
      <xdr:colOff>436821</xdr:colOff>
      <xdr:row>12</xdr:row>
      <xdr:rowOff>149547</xdr:rowOff>
    </xdr:from>
    <xdr:to>
      <xdr:col>14</xdr:col>
      <xdr:colOff>400873</xdr:colOff>
      <xdr:row>14</xdr:row>
      <xdr:rowOff>136132</xdr:rowOff>
    </xdr:to>
    <xdr:sp macro="" textlink="'Analysis Sheet'!I8">
      <xdr:nvSpPr>
        <xdr:cNvPr id="96" name="TextBox 95">
          <a:extLst>
            <a:ext uri="{FF2B5EF4-FFF2-40B4-BE49-F238E27FC236}">
              <a16:creationId xmlns:a16="http://schemas.microsoft.com/office/drawing/2014/main" id="{47891274-1AF8-4118-A8F7-BB6E1557FBD5}"/>
            </a:ext>
          </a:extLst>
        </xdr:cNvPr>
        <xdr:cNvSpPr txBox="1"/>
      </xdr:nvSpPr>
      <xdr:spPr>
        <a:xfrm>
          <a:off x="7120743" y="2448685"/>
          <a:ext cx="1786940" cy="36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0">
              <a:solidFill>
                <a:schemeClr val="bg1"/>
              </a:solidFill>
              <a:latin typeface="Times New Roman" panose="02020603050405020304" pitchFamily="18" charset="0"/>
              <a:ea typeface="+mn-ea"/>
              <a:cs typeface="Times New Roman" panose="02020603050405020304" pitchFamily="18" charset="0"/>
            </a:rPr>
            <a:t>2</a:t>
          </a:r>
        </a:p>
      </xdr:txBody>
    </xdr:sp>
    <xdr:clientData/>
  </xdr:twoCellAnchor>
  <xdr:twoCellAnchor>
    <xdr:from>
      <xdr:col>11</xdr:col>
      <xdr:colOff>435945</xdr:colOff>
      <xdr:row>15</xdr:row>
      <xdr:rowOff>82982</xdr:rowOff>
    </xdr:from>
    <xdr:to>
      <xdr:col>14</xdr:col>
      <xdr:colOff>399997</xdr:colOff>
      <xdr:row>17</xdr:row>
      <xdr:rowOff>69567</xdr:rowOff>
    </xdr:to>
    <xdr:sp macro="" textlink="'Analysis Sheet'!I8">
      <xdr:nvSpPr>
        <xdr:cNvPr id="97" name="TextBox 96">
          <a:extLst>
            <a:ext uri="{FF2B5EF4-FFF2-40B4-BE49-F238E27FC236}">
              <a16:creationId xmlns:a16="http://schemas.microsoft.com/office/drawing/2014/main" id="{B2B3C409-C717-46CB-840D-F50D50C5FD47}"/>
            </a:ext>
          </a:extLst>
        </xdr:cNvPr>
        <xdr:cNvSpPr txBox="1"/>
      </xdr:nvSpPr>
      <xdr:spPr>
        <a:xfrm>
          <a:off x="7119867" y="2956904"/>
          <a:ext cx="1786940" cy="369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050" b="0">
              <a:solidFill>
                <a:schemeClr val="bg1"/>
              </a:solidFill>
              <a:latin typeface="Times New Roman" panose="02020603050405020304" pitchFamily="18" charset="0"/>
              <a:ea typeface="+mn-ea"/>
              <a:cs typeface="Times New Roman" panose="02020603050405020304" pitchFamily="18" charset="0"/>
            </a:rPr>
            <a:t>3</a:t>
          </a:r>
        </a:p>
      </xdr:txBody>
    </xdr:sp>
    <xdr:clientData/>
  </xdr:twoCellAnchor>
  <xdr:twoCellAnchor>
    <xdr:from>
      <xdr:col>17</xdr:col>
      <xdr:colOff>569536</xdr:colOff>
      <xdr:row>9</xdr:row>
      <xdr:rowOff>98196</xdr:rowOff>
    </xdr:from>
    <xdr:to>
      <xdr:col>24</xdr:col>
      <xdr:colOff>186573</xdr:colOff>
      <xdr:row>9</xdr:row>
      <xdr:rowOff>127655</xdr:rowOff>
    </xdr:to>
    <xdr:cxnSp macro="">
      <xdr:nvCxnSpPr>
        <xdr:cNvPr id="2" name="Straight Connector 1">
          <a:extLst>
            <a:ext uri="{FF2B5EF4-FFF2-40B4-BE49-F238E27FC236}">
              <a16:creationId xmlns:a16="http://schemas.microsoft.com/office/drawing/2014/main" id="{EDF4D9A3-F96C-4295-B312-A6B5528A6E24}"/>
            </a:ext>
          </a:extLst>
        </xdr:cNvPr>
        <xdr:cNvCxnSpPr/>
      </xdr:nvCxnSpPr>
      <xdr:spPr>
        <a:xfrm flipV="1">
          <a:off x="10919381" y="1777345"/>
          <a:ext cx="3878738" cy="29459"/>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608397</xdr:colOff>
      <xdr:row>7</xdr:row>
      <xdr:rowOff>132286</xdr:rowOff>
    </xdr:from>
    <xdr:to>
      <xdr:col>22</xdr:col>
      <xdr:colOff>556631</xdr:colOff>
      <xdr:row>9</xdr:row>
      <xdr:rowOff>118870</xdr:rowOff>
    </xdr:to>
    <xdr:sp macro="" textlink="">
      <xdr:nvSpPr>
        <xdr:cNvPr id="3" name="TextBox 2">
          <a:extLst>
            <a:ext uri="{FF2B5EF4-FFF2-40B4-BE49-F238E27FC236}">
              <a16:creationId xmlns:a16="http://schemas.microsoft.com/office/drawing/2014/main" id="{E57C5884-AEDE-4AB8-868A-36F24E27227B}"/>
            </a:ext>
          </a:extLst>
        </xdr:cNvPr>
        <xdr:cNvSpPr txBox="1"/>
      </xdr:nvSpPr>
      <xdr:spPr>
        <a:xfrm>
          <a:off x="11567057" y="1438291"/>
          <a:ext cx="2383492" cy="359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Times New Roman" panose="02020603050405020304" pitchFamily="18" charset="0"/>
              <a:cs typeface="Times New Roman" panose="02020603050405020304" pitchFamily="18" charset="0"/>
            </a:rPr>
            <a:t>Regions</a:t>
          </a:r>
        </a:p>
      </xdr:txBody>
    </xdr:sp>
    <xdr:clientData/>
  </xdr:twoCellAnchor>
  <xdr:twoCellAnchor>
    <xdr:from>
      <xdr:col>42</xdr:col>
      <xdr:colOff>328065</xdr:colOff>
      <xdr:row>24</xdr:row>
      <xdr:rowOff>116143</xdr:rowOff>
    </xdr:from>
    <xdr:to>
      <xdr:col>46</xdr:col>
      <xdr:colOff>506153</xdr:colOff>
      <xdr:row>24</xdr:row>
      <xdr:rowOff>126496</xdr:rowOff>
    </xdr:to>
    <xdr:cxnSp macro="">
      <xdr:nvCxnSpPr>
        <xdr:cNvPr id="6" name="Straight Connector 5">
          <a:extLst>
            <a:ext uri="{FF2B5EF4-FFF2-40B4-BE49-F238E27FC236}">
              <a16:creationId xmlns:a16="http://schemas.microsoft.com/office/drawing/2014/main" id="{7F6ADDA2-599E-4E1F-8F68-CA018A553F18}"/>
            </a:ext>
          </a:extLst>
        </xdr:cNvPr>
        <xdr:cNvCxnSpPr/>
      </xdr:nvCxnSpPr>
      <xdr:spPr>
        <a:xfrm flipV="1">
          <a:off x="25898271" y="4593875"/>
          <a:ext cx="2613346" cy="10353"/>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42</xdr:col>
      <xdr:colOff>479572</xdr:colOff>
      <xdr:row>22</xdr:row>
      <xdr:rowOff>163280</xdr:rowOff>
    </xdr:from>
    <xdr:to>
      <xdr:col>46</xdr:col>
      <xdr:colOff>427805</xdr:colOff>
      <xdr:row>24</xdr:row>
      <xdr:rowOff>149864</xdr:rowOff>
    </xdr:to>
    <xdr:sp macro="" textlink="">
      <xdr:nvSpPr>
        <xdr:cNvPr id="7" name="TextBox 6">
          <a:extLst>
            <a:ext uri="{FF2B5EF4-FFF2-40B4-BE49-F238E27FC236}">
              <a16:creationId xmlns:a16="http://schemas.microsoft.com/office/drawing/2014/main" id="{430D0CA7-0492-4F0E-AE7A-879A5357740E}"/>
            </a:ext>
          </a:extLst>
        </xdr:cNvPr>
        <xdr:cNvSpPr txBox="1"/>
      </xdr:nvSpPr>
      <xdr:spPr>
        <a:xfrm>
          <a:off x="26049778" y="4267868"/>
          <a:ext cx="2383491" cy="359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Times New Roman" panose="02020603050405020304" pitchFamily="18" charset="0"/>
              <a:cs typeface="Times New Roman" panose="02020603050405020304" pitchFamily="18" charset="0"/>
            </a:rPr>
            <a:t>Top</a:t>
          </a:r>
          <a:r>
            <a:rPr lang="en-US" sz="1800" b="1" baseline="0">
              <a:solidFill>
                <a:schemeClr val="accent5">
                  <a:lumMod val="75000"/>
                </a:schemeClr>
              </a:solidFill>
              <a:latin typeface="Times New Roman" panose="02020603050405020304" pitchFamily="18" charset="0"/>
              <a:cs typeface="Times New Roman" panose="02020603050405020304" pitchFamily="18" charset="0"/>
            </a:rPr>
            <a:t> 3 Customers</a:t>
          </a:r>
          <a:endParaRPr lang="en-US" sz="1800" b="1">
            <a:solidFill>
              <a:schemeClr val="accent5">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17</xdr:col>
      <xdr:colOff>490980</xdr:colOff>
      <xdr:row>23</xdr:row>
      <xdr:rowOff>157113</xdr:rowOff>
    </xdr:from>
    <xdr:to>
      <xdr:col>24</xdr:col>
      <xdr:colOff>176753</xdr:colOff>
      <xdr:row>23</xdr:row>
      <xdr:rowOff>157113</xdr:rowOff>
    </xdr:to>
    <xdr:cxnSp macro="">
      <xdr:nvCxnSpPr>
        <xdr:cNvPr id="8" name="Straight Connector 7">
          <a:extLst>
            <a:ext uri="{FF2B5EF4-FFF2-40B4-BE49-F238E27FC236}">
              <a16:creationId xmlns:a16="http://schemas.microsoft.com/office/drawing/2014/main" id="{C2CF5137-A21D-4D24-964A-3EA9594E9C88}"/>
            </a:ext>
          </a:extLst>
        </xdr:cNvPr>
        <xdr:cNvCxnSpPr/>
      </xdr:nvCxnSpPr>
      <xdr:spPr>
        <a:xfrm>
          <a:off x="10840825" y="4448273"/>
          <a:ext cx="3947474"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581121</xdr:colOff>
      <xdr:row>21</xdr:row>
      <xdr:rowOff>137934</xdr:rowOff>
    </xdr:from>
    <xdr:to>
      <xdr:col>22</xdr:col>
      <xdr:colOff>529355</xdr:colOff>
      <xdr:row>23</xdr:row>
      <xdr:rowOff>124517</xdr:rowOff>
    </xdr:to>
    <xdr:sp macro="" textlink="">
      <xdr:nvSpPr>
        <xdr:cNvPr id="9" name="TextBox 8">
          <a:extLst>
            <a:ext uri="{FF2B5EF4-FFF2-40B4-BE49-F238E27FC236}">
              <a16:creationId xmlns:a16="http://schemas.microsoft.com/office/drawing/2014/main" id="{19AFDCC9-D409-415B-9B06-2BBA00C7171C}"/>
            </a:ext>
          </a:extLst>
        </xdr:cNvPr>
        <xdr:cNvSpPr txBox="1"/>
      </xdr:nvSpPr>
      <xdr:spPr>
        <a:xfrm>
          <a:off x="11539781" y="4055949"/>
          <a:ext cx="2383492" cy="359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Times New Roman" panose="02020603050405020304" pitchFamily="18" charset="0"/>
              <a:cs typeface="Times New Roman" panose="02020603050405020304" pitchFamily="18" charset="0"/>
            </a:rPr>
            <a:t>Country </a:t>
          </a:r>
        </a:p>
      </xdr:txBody>
    </xdr:sp>
    <xdr:clientData/>
  </xdr:twoCellAnchor>
  <xdr:twoCellAnchor>
    <xdr:from>
      <xdr:col>12</xdr:col>
      <xdr:colOff>559717</xdr:colOff>
      <xdr:row>22</xdr:row>
      <xdr:rowOff>19639</xdr:rowOff>
    </xdr:from>
    <xdr:to>
      <xdr:col>17</xdr:col>
      <xdr:colOff>225851</xdr:colOff>
      <xdr:row>22</xdr:row>
      <xdr:rowOff>19639</xdr:rowOff>
    </xdr:to>
    <xdr:cxnSp macro="">
      <xdr:nvCxnSpPr>
        <xdr:cNvPr id="14" name="Straight Connector 13">
          <a:extLst>
            <a:ext uri="{FF2B5EF4-FFF2-40B4-BE49-F238E27FC236}">
              <a16:creationId xmlns:a16="http://schemas.microsoft.com/office/drawing/2014/main" id="{1A5A0B27-1604-44F1-89BC-15D77B076685}"/>
            </a:ext>
          </a:extLst>
        </xdr:cNvPr>
        <xdr:cNvCxnSpPr/>
      </xdr:nvCxnSpPr>
      <xdr:spPr>
        <a:xfrm>
          <a:off x="7865490" y="4124227"/>
          <a:ext cx="2710206" cy="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6871</xdr:colOff>
      <xdr:row>19</xdr:row>
      <xdr:rowOff>182318</xdr:rowOff>
    </xdr:from>
    <xdr:to>
      <xdr:col>16</xdr:col>
      <xdr:colOff>563920</xdr:colOff>
      <xdr:row>21</xdr:row>
      <xdr:rowOff>168902</xdr:rowOff>
    </xdr:to>
    <xdr:sp macro="" textlink="">
      <xdr:nvSpPr>
        <xdr:cNvPr id="15" name="TextBox 14">
          <a:extLst>
            <a:ext uri="{FF2B5EF4-FFF2-40B4-BE49-F238E27FC236}">
              <a16:creationId xmlns:a16="http://schemas.microsoft.com/office/drawing/2014/main" id="{6134955F-69A4-4D50-ACCC-FA15489AF05F}"/>
            </a:ext>
          </a:extLst>
        </xdr:cNvPr>
        <xdr:cNvSpPr txBox="1"/>
      </xdr:nvSpPr>
      <xdr:spPr>
        <a:xfrm>
          <a:off x="7921459" y="3727189"/>
          <a:ext cx="2383492" cy="359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Times New Roman" panose="02020603050405020304" pitchFamily="18" charset="0"/>
              <a:cs typeface="Times New Roman" panose="02020603050405020304" pitchFamily="18" charset="0"/>
            </a:rPr>
            <a:t>Sales</a:t>
          </a:r>
          <a:r>
            <a:rPr lang="en-US" sz="1800" b="1" baseline="0">
              <a:solidFill>
                <a:schemeClr val="accent5">
                  <a:lumMod val="75000"/>
                </a:schemeClr>
              </a:solidFill>
              <a:latin typeface="Times New Roman" panose="02020603050405020304" pitchFamily="18" charset="0"/>
              <a:cs typeface="Times New Roman" panose="02020603050405020304" pitchFamily="18" charset="0"/>
            </a:rPr>
            <a:t> by Product</a:t>
          </a:r>
          <a:r>
            <a:rPr lang="en-US" sz="1800" b="1">
              <a:solidFill>
                <a:schemeClr val="accent5">
                  <a:lumMod val="75000"/>
                </a:schemeClr>
              </a:solidFill>
              <a:latin typeface="Times New Roman" panose="02020603050405020304" pitchFamily="18" charset="0"/>
              <a:cs typeface="Times New Roman" panose="02020603050405020304" pitchFamily="18" charset="0"/>
            </a:rPr>
            <a:t> </a:t>
          </a:r>
        </a:p>
      </xdr:txBody>
    </xdr:sp>
    <xdr:clientData/>
  </xdr:twoCellAnchor>
  <xdr:twoCellAnchor>
    <xdr:from>
      <xdr:col>3</xdr:col>
      <xdr:colOff>589176</xdr:colOff>
      <xdr:row>17</xdr:row>
      <xdr:rowOff>127654</xdr:rowOff>
    </xdr:from>
    <xdr:to>
      <xdr:col>12</xdr:col>
      <xdr:colOff>343686</xdr:colOff>
      <xdr:row>17</xdr:row>
      <xdr:rowOff>147294</xdr:rowOff>
    </xdr:to>
    <xdr:cxnSp macro="">
      <xdr:nvCxnSpPr>
        <xdr:cNvPr id="19" name="Straight Connector 18">
          <a:extLst>
            <a:ext uri="{FF2B5EF4-FFF2-40B4-BE49-F238E27FC236}">
              <a16:creationId xmlns:a16="http://schemas.microsoft.com/office/drawing/2014/main" id="{DF12C110-7FC8-4CFB-BC23-8D843A12619D}"/>
            </a:ext>
          </a:extLst>
        </xdr:cNvPr>
        <xdr:cNvCxnSpPr/>
      </xdr:nvCxnSpPr>
      <xdr:spPr>
        <a:xfrm flipV="1">
          <a:off x="2415619" y="3299381"/>
          <a:ext cx="5233840" cy="1964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412423</xdr:colOff>
      <xdr:row>15</xdr:row>
      <xdr:rowOff>162679</xdr:rowOff>
    </xdr:from>
    <xdr:to>
      <xdr:col>10</xdr:col>
      <xdr:colOff>554100</xdr:colOff>
      <xdr:row>17</xdr:row>
      <xdr:rowOff>149262</xdr:rowOff>
    </xdr:to>
    <xdr:sp macro="" textlink="">
      <xdr:nvSpPr>
        <xdr:cNvPr id="20" name="TextBox 19">
          <a:extLst>
            <a:ext uri="{FF2B5EF4-FFF2-40B4-BE49-F238E27FC236}">
              <a16:creationId xmlns:a16="http://schemas.microsoft.com/office/drawing/2014/main" id="{4C8BD7B2-F19B-430C-8C91-280046A65D05}"/>
            </a:ext>
          </a:extLst>
        </xdr:cNvPr>
        <xdr:cNvSpPr txBox="1"/>
      </xdr:nvSpPr>
      <xdr:spPr>
        <a:xfrm>
          <a:off x="3456495" y="2961261"/>
          <a:ext cx="3185749" cy="359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Times New Roman" panose="02020603050405020304" pitchFamily="18" charset="0"/>
              <a:cs typeface="Times New Roman" panose="02020603050405020304" pitchFamily="18" charset="0"/>
            </a:rPr>
            <a:t>Monthly (Target vs</a:t>
          </a:r>
          <a:r>
            <a:rPr lang="en-US" sz="1800" b="1" baseline="0">
              <a:solidFill>
                <a:schemeClr val="accent5">
                  <a:lumMod val="75000"/>
                </a:schemeClr>
              </a:solidFill>
              <a:latin typeface="Times New Roman" panose="02020603050405020304" pitchFamily="18" charset="0"/>
              <a:cs typeface="Times New Roman" panose="02020603050405020304" pitchFamily="18" charset="0"/>
            </a:rPr>
            <a:t> Actual</a:t>
          </a:r>
          <a:r>
            <a:rPr lang="en-US" sz="1800" b="1">
              <a:solidFill>
                <a:schemeClr val="accent5">
                  <a:lumMod val="75000"/>
                </a:schemeClr>
              </a:solidFill>
              <a:latin typeface="Times New Roman" panose="02020603050405020304" pitchFamily="18" charset="0"/>
              <a:cs typeface="Times New Roman" panose="02020603050405020304" pitchFamily="18" charset="0"/>
            </a:rPr>
            <a:t>)</a:t>
          </a:r>
        </a:p>
      </xdr:txBody>
    </xdr:sp>
    <xdr:clientData/>
  </xdr:twoCellAnchor>
  <xdr:twoCellAnchor>
    <xdr:from>
      <xdr:col>0</xdr:col>
      <xdr:colOff>461521</xdr:colOff>
      <xdr:row>31</xdr:row>
      <xdr:rowOff>68737</xdr:rowOff>
    </xdr:from>
    <xdr:to>
      <xdr:col>12</xdr:col>
      <xdr:colOff>422242</xdr:colOff>
      <xdr:row>31</xdr:row>
      <xdr:rowOff>78557</xdr:rowOff>
    </xdr:to>
    <xdr:cxnSp macro="">
      <xdr:nvCxnSpPr>
        <xdr:cNvPr id="25" name="Straight Connector 24">
          <a:extLst>
            <a:ext uri="{FF2B5EF4-FFF2-40B4-BE49-F238E27FC236}">
              <a16:creationId xmlns:a16="http://schemas.microsoft.com/office/drawing/2014/main" id="{3B73BDEC-87EF-4820-A252-D691DDE5233E}"/>
            </a:ext>
          </a:extLst>
        </xdr:cNvPr>
        <xdr:cNvCxnSpPr/>
      </xdr:nvCxnSpPr>
      <xdr:spPr>
        <a:xfrm flipV="1">
          <a:off x="461521" y="5852474"/>
          <a:ext cx="7266494" cy="9820"/>
        </a:xfrm>
        <a:prstGeom prst="line">
          <a:avLst/>
        </a:prstGeom>
        <a:ln>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280055</xdr:colOff>
      <xdr:row>29</xdr:row>
      <xdr:rowOff>108867</xdr:rowOff>
    </xdr:from>
    <xdr:to>
      <xdr:col>8</xdr:col>
      <xdr:colOff>421732</xdr:colOff>
      <xdr:row>31</xdr:row>
      <xdr:rowOff>95451</xdr:rowOff>
    </xdr:to>
    <xdr:sp macro="" textlink="">
      <xdr:nvSpPr>
        <xdr:cNvPr id="26" name="TextBox 25">
          <a:extLst>
            <a:ext uri="{FF2B5EF4-FFF2-40B4-BE49-F238E27FC236}">
              <a16:creationId xmlns:a16="http://schemas.microsoft.com/office/drawing/2014/main" id="{B432F597-E546-4561-AC20-3203B210F085}"/>
            </a:ext>
          </a:extLst>
        </xdr:cNvPr>
        <xdr:cNvSpPr txBox="1"/>
      </xdr:nvSpPr>
      <xdr:spPr>
        <a:xfrm>
          <a:off x="2106498" y="5519460"/>
          <a:ext cx="3185749" cy="359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800" b="1">
              <a:solidFill>
                <a:schemeClr val="accent5">
                  <a:lumMod val="75000"/>
                </a:schemeClr>
              </a:solidFill>
              <a:latin typeface="Times New Roman" panose="02020603050405020304" pitchFamily="18" charset="0"/>
              <a:cs typeface="Times New Roman" panose="02020603050405020304" pitchFamily="18" charset="0"/>
            </a:rPr>
            <a:t>Weekly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698.938713078707" createdVersion="8" refreshedVersion="8" minRefreshableVersion="3" recordCount="832" xr:uid="{ACD271F0-50FE-43C7-B92C-EBB9E46E7234}">
  <cacheSource type="worksheet">
    <worksheetSource name="InputData"/>
  </cacheSource>
  <cacheFields count="10">
    <cacheField name="DATE" numFmtId="14">
      <sharedItems containsSemiMixedTypes="0" containsNonDate="0" containsDate="1" containsString="0" minDate="2021-01-01T00:00:00" maxDate="2022-01-01T00:00:00"/>
    </cacheField>
    <cacheField name="CUSTOMER NAME" numFmtId="0">
      <sharedItems count="40">
        <s v="Customer33"/>
        <s v="Customer29"/>
        <s v="Customer31"/>
        <s v="Customer03"/>
        <s v="Customer05"/>
        <s v="Customer35"/>
        <s v="Customer38"/>
        <s v="Customer39"/>
        <s v="Customer34"/>
        <s v="Customer18"/>
        <s v="Customer20"/>
        <s v="Customer37"/>
        <s v="Customer32"/>
        <s v="Customer09"/>
        <s v="Customer26"/>
        <s v="Customer06"/>
        <s v="Customer01"/>
        <s v="Customer16"/>
        <s v="Customer19"/>
        <s v="Customer36"/>
        <s v="Customer21"/>
        <s v="Customer11"/>
        <s v="Customer17"/>
        <s v="Customer14"/>
        <s v="Customer08"/>
        <s v="Customer24"/>
        <s v="Customer25"/>
        <s v="Customer27"/>
        <s v="Customer15"/>
        <s v="Customer22"/>
        <s v="Customer30"/>
        <s v="Customer04"/>
        <s v="Customer12"/>
        <s v="Customer02"/>
        <s v="Customer23"/>
        <s v="Customer28"/>
        <s v="Customer10"/>
        <s v="Customer07"/>
        <s v="Customer13"/>
        <s v="Customer40"/>
      </sharedItems>
    </cacheField>
    <cacheField name="PRODUCT" numFmtId="0">
      <sharedItems count="44">
        <s v="Product24"/>
        <s v="Product22"/>
        <s v="Product38"/>
        <s v="Product33"/>
        <s v="Product15"/>
        <s v="Product10"/>
        <s v="Product13"/>
        <s v="Product14"/>
        <s v="Product43"/>
        <s v="Product04"/>
        <s v="Product29"/>
        <s v="Product12"/>
        <s v="Product35"/>
        <s v="Product32"/>
        <s v="Product19"/>
        <s v="Product07"/>
        <s v="Product31"/>
        <s v="Product25"/>
        <s v="Product40"/>
        <s v="Product03"/>
        <s v="Product02"/>
        <s v="Product34"/>
        <s v="Product37"/>
        <s v="Product11"/>
        <s v="Product42"/>
        <s v="Product16"/>
        <s v="Product08"/>
        <s v="Product23"/>
        <s v="Product44"/>
        <s v="Product20"/>
        <s v="Product21"/>
        <s v="Product01"/>
        <s v="Product30"/>
        <s v="Product17"/>
        <s v="Product06"/>
        <s v="Product05"/>
        <s v="Product27"/>
        <s v="Product28"/>
        <s v="Product41"/>
        <s v="Product39"/>
        <s v="Product18"/>
        <s v="Product09"/>
        <s v="Product26"/>
        <s v="Product36"/>
      </sharedItems>
    </cacheField>
    <cacheField name="UNIT PRICE ($)" numFmtId="4">
      <sharedItems containsSemiMixedTypes="0" containsString="0" containsNumber="1" minValue="6.7" maxValue="210"/>
    </cacheField>
    <cacheField name="QUANTITY" numFmtId="0">
      <sharedItems containsSemiMixedTypes="0" containsString="0" containsNumber="1" containsInteger="1" minValue="1" maxValue="39"/>
    </cacheField>
    <cacheField name="Actual Column" numFmtId="0">
      <sharedItems containsSemiMixedTypes="0" containsString="0" containsNumber="1" minValue="6.7" maxValue="8190"/>
    </cacheField>
    <cacheField name="Country" numFmtId="0">
      <sharedItems count="15">
        <s v="India"/>
        <s v="Germany"/>
        <s v="United Kingdom"/>
        <s v="United States of America"/>
        <s v="Pakistan"/>
        <s v="Russia"/>
        <s v="Nigeria"/>
        <s v="South Africa"/>
        <s v="Mexico"/>
        <s v="Saudi Arabia"/>
        <s v="Ethiopia"/>
        <s v="Brazil"/>
        <s v="Bangladesh"/>
        <s v="France"/>
        <s v="Indonesia"/>
      </sharedItems>
    </cacheField>
    <cacheField name="Region" numFmtId="0">
      <sharedItems count="7">
        <s v="Western"/>
        <s v="South"/>
        <s v="North"/>
        <s v="Northeast"/>
        <s v="Export"/>
        <s v="Central"/>
        <s v="East"/>
      </sharedItems>
    </cacheField>
    <cacheField name="Month" numFmtId="0">
      <sharedItems count="12">
        <s v="Jan"/>
        <s v="Feb"/>
        <s v="Mar"/>
        <s v="Apr"/>
        <s v="May"/>
        <s v="Jun"/>
        <s v="Jul"/>
        <s v="Aug"/>
        <s v="Sep"/>
        <s v="Oct"/>
        <s v="Nov"/>
        <s v="Dec"/>
      </sharedItems>
    </cacheField>
    <cacheField name="Week" numFmtId="0">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s>
  <extLst>
    <ext xmlns:x14="http://schemas.microsoft.com/office/spreadsheetml/2009/9/main" uri="{725AE2AE-9491-48be-B2B4-4EB974FC3084}">
      <x14:pivotCacheDefinition pivotCacheId="14806769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d v="2021-01-01T00:00:00"/>
    <x v="0"/>
    <x v="0"/>
    <n v="156.96"/>
    <n v="9"/>
    <n v="1412.64"/>
    <x v="0"/>
    <x v="0"/>
    <x v="0"/>
    <x v="0"/>
  </r>
  <r>
    <d v="2021-01-01T00:00:00"/>
    <x v="1"/>
    <x v="1"/>
    <n v="141.57"/>
    <n v="1"/>
    <n v="141.57"/>
    <x v="0"/>
    <x v="1"/>
    <x v="0"/>
    <x v="0"/>
  </r>
  <r>
    <d v="2021-01-02T00:00:00"/>
    <x v="2"/>
    <x v="2"/>
    <n v="79.92"/>
    <n v="15"/>
    <n v="1198.8"/>
    <x v="0"/>
    <x v="2"/>
    <x v="0"/>
    <x v="0"/>
  </r>
  <r>
    <d v="2021-01-02T00:00:00"/>
    <x v="3"/>
    <x v="3"/>
    <n v="119.7"/>
    <n v="1"/>
    <n v="119.7"/>
    <x v="0"/>
    <x v="3"/>
    <x v="0"/>
    <x v="0"/>
  </r>
  <r>
    <d v="2021-01-02T00:00:00"/>
    <x v="4"/>
    <x v="4"/>
    <n v="15.719999999999999"/>
    <n v="2"/>
    <n v="31.439999999999998"/>
    <x v="0"/>
    <x v="3"/>
    <x v="0"/>
    <x v="0"/>
  </r>
  <r>
    <d v="2021-01-02T00:00:00"/>
    <x v="5"/>
    <x v="5"/>
    <n v="164.28"/>
    <n v="7"/>
    <n v="1149.96"/>
    <x v="0"/>
    <x v="2"/>
    <x v="0"/>
    <x v="0"/>
  </r>
  <r>
    <d v="2021-01-02T00:00:00"/>
    <x v="6"/>
    <x v="6"/>
    <n v="122.08"/>
    <n v="6"/>
    <n v="732.48"/>
    <x v="0"/>
    <x v="3"/>
    <x v="0"/>
    <x v="0"/>
  </r>
  <r>
    <d v="2021-01-02T00:00:00"/>
    <x v="7"/>
    <x v="4"/>
    <n v="15.719999999999999"/>
    <n v="25"/>
    <n v="393"/>
    <x v="1"/>
    <x v="4"/>
    <x v="0"/>
    <x v="0"/>
  </r>
  <r>
    <d v="2021-01-03T00:00:00"/>
    <x v="8"/>
    <x v="7"/>
    <n v="146.72"/>
    <n v="21"/>
    <n v="3081.12"/>
    <x v="0"/>
    <x v="3"/>
    <x v="0"/>
    <x v="1"/>
  </r>
  <r>
    <d v="2021-01-03T00:00:00"/>
    <x v="9"/>
    <x v="8"/>
    <n v="83.08"/>
    <n v="9"/>
    <n v="747.72"/>
    <x v="0"/>
    <x v="0"/>
    <x v="0"/>
    <x v="1"/>
  </r>
  <r>
    <d v="2021-01-03T00:00:00"/>
    <x v="10"/>
    <x v="2"/>
    <n v="79.92"/>
    <n v="31"/>
    <n v="2477.52"/>
    <x v="2"/>
    <x v="4"/>
    <x v="0"/>
    <x v="1"/>
  </r>
  <r>
    <d v="2021-01-03T00:00:00"/>
    <x v="11"/>
    <x v="9"/>
    <n v="48.84"/>
    <n v="5"/>
    <n v="244.20000000000002"/>
    <x v="3"/>
    <x v="4"/>
    <x v="0"/>
    <x v="1"/>
  </r>
  <r>
    <d v="2021-01-04T00:00:00"/>
    <x v="12"/>
    <x v="10"/>
    <n v="53.11"/>
    <n v="1"/>
    <n v="53.11"/>
    <x v="4"/>
    <x v="4"/>
    <x v="0"/>
    <x v="1"/>
  </r>
  <r>
    <d v="2021-01-04T00:00:00"/>
    <x v="13"/>
    <x v="11"/>
    <n v="94.17"/>
    <n v="8"/>
    <n v="753.36"/>
    <x v="5"/>
    <x v="4"/>
    <x v="0"/>
    <x v="1"/>
  </r>
  <r>
    <d v="2021-01-04T00:00:00"/>
    <x v="14"/>
    <x v="12"/>
    <n v="6.7"/>
    <n v="12"/>
    <n v="80.400000000000006"/>
    <x v="0"/>
    <x v="3"/>
    <x v="0"/>
    <x v="1"/>
  </r>
  <r>
    <d v="2021-01-06T00:00:00"/>
    <x v="15"/>
    <x v="13"/>
    <n v="117.48"/>
    <n v="9"/>
    <n v="1057.32"/>
    <x v="4"/>
    <x v="4"/>
    <x v="0"/>
    <x v="1"/>
  </r>
  <r>
    <d v="2021-01-08T00:00:00"/>
    <x v="13"/>
    <x v="14"/>
    <n v="210"/>
    <n v="14"/>
    <n v="2940"/>
    <x v="5"/>
    <x v="4"/>
    <x v="0"/>
    <x v="1"/>
  </r>
  <r>
    <d v="2021-01-09T00:00:00"/>
    <x v="16"/>
    <x v="15"/>
    <n v="47.730000000000004"/>
    <n v="26"/>
    <n v="1240.98"/>
    <x v="6"/>
    <x v="4"/>
    <x v="0"/>
    <x v="1"/>
  </r>
  <r>
    <d v="2021-01-09T00:00:00"/>
    <x v="4"/>
    <x v="16"/>
    <n v="104.16"/>
    <n v="1"/>
    <n v="104.16"/>
    <x v="0"/>
    <x v="3"/>
    <x v="0"/>
    <x v="1"/>
  </r>
  <r>
    <d v="2021-01-09T00:00:00"/>
    <x v="8"/>
    <x v="17"/>
    <n v="8.33"/>
    <n v="4"/>
    <n v="33.32"/>
    <x v="0"/>
    <x v="3"/>
    <x v="0"/>
    <x v="1"/>
  </r>
  <r>
    <d v="2021-01-09T00:00:00"/>
    <x v="17"/>
    <x v="16"/>
    <n v="104.16"/>
    <n v="29"/>
    <n v="3020.64"/>
    <x v="5"/>
    <x v="4"/>
    <x v="0"/>
    <x v="1"/>
  </r>
  <r>
    <d v="2021-01-09T00:00:00"/>
    <x v="18"/>
    <x v="18"/>
    <n v="115.2"/>
    <n v="28"/>
    <n v="3225.6"/>
    <x v="0"/>
    <x v="5"/>
    <x v="0"/>
    <x v="1"/>
  </r>
  <r>
    <d v="2021-01-09T00:00:00"/>
    <x v="10"/>
    <x v="19"/>
    <n v="80.94"/>
    <n v="8"/>
    <n v="647.52"/>
    <x v="2"/>
    <x v="4"/>
    <x v="0"/>
    <x v="1"/>
  </r>
  <r>
    <d v="2021-01-09T00:00:00"/>
    <x v="19"/>
    <x v="13"/>
    <n v="117.48"/>
    <n v="12"/>
    <n v="1409.76"/>
    <x v="4"/>
    <x v="4"/>
    <x v="0"/>
    <x v="1"/>
  </r>
  <r>
    <d v="2021-01-10T00:00:00"/>
    <x v="3"/>
    <x v="20"/>
    <n v="142.80000000000001"/>
    <n v="24"/>
    <n v="3427.2000000000003"/>
    <x v="0"/>
    <x v="3"/>
    <x v="0"/>
    <x v="2"/>
  </r>
  <r>
    <d v="2021-01-10T00:00:00"/>
    <x v="20"/>
    <x v="21"/>
    <n v="58.3"/>
    <n v="14"/>
    <n v="816.19999999999993"/>
    <x v="7"/>
    <x v="4"/>
    <x v="0"/>
    <x v="2"/>
  </r>
  <r>
    <d v="2021-01-10T00:00:00"/>
    <x v="19"/>
    <x v="12"/>
    <n v="6.7"/>
    <n v="9"/>
    <n v="60.300000000000004"/>
    <x v="4"/>
    <x v="4"/>
    <x v="0"/>
    <x v="2"/>
  </r>
  <r>
    <d v="2021-01-11T00:00:00"/>
    <x v="3"/>
    <x v="22"/>
    <n v="85.76"/>
    <n v="3"/>
    <n v="257.28000000000003"/>
    <x v="0"/>
    <x v="3"/>
    <x v="0"/>
    <x v="2"/>
  </r>
  <r>
    <d v="2021-01-11T00:00:00"/>
    <x v="21"/>
    <x v="7"/>
    <n v="146.72"/>
    <n v="4"/>
    <n v="586.88"/>
    <x v="8"/>
    <x v="4"/>
    <x v="0"/>
    <x v="2"/>
  </r>
  <r>
    <d v="2021-01-11T00:00:00"/>
    <x v="8"/>
    <x v="23"/>
    <n v="48.4"/>
    <n v="14"/>
    <n v="677.6"/>
    <x v="0"/>
    <x v="3"/>
    <x v="0"/>
    <x v="2"/>
  </r>
  <r>
    <d v="2021-01-11T00:00:00"/>
    <x v="22"/>
    <x v="24"/>
    <n v="162"/>
    <n v="4"/>
    <n v="648"/>
    <x v="9"/>
    <x v="4"/>
    <x v="0"/>
    <x v="2"/>
  </r>
  <r>
    <d v="2021-01-11T00:00:00"/>
    <x v="10"/>
    <x v="13"/>
    <n v="117.48"/>
    <n v="2"/>
    <n v="234.96"/>
    <x v="2"/>
    <x v="4"/>
    <x v="0"/>
    <x v="2"/>
  </r>
  <r>
    <d v="2021-01-12T00:00:00"/>
    <x v="4"/>
    <x v="24"/>
    <n v="162"/>
    <n v="10"/>
    <n v="1620"/>
    <x v="0"/>
    <x v="3"/>
    <x v="0"/>
    <x v="2"/>
  </r>
  <r>
    <d v="2021-01-13T00:00:00"/>
    <x v="2"/>
    <x v="25"/>
    <n v="16.64"/>
    <n v="15"/>
    <n v="249.60000000000002"/>
    <x v="0"/>
    <x v="2"/>
    <x v="0"/>
    <x v="2"/>
  </r>
  <r>
    <d v="2021-01-13T00:00:00"/>
    <x v="15"/>
    <x v="14"/>
    <n v="210"/>
    <n v="6"/>
    <n v="1260"/>
    <x v="4"/>
    <x v="4"/>
    <x v="0"/>
    <x v="2"/>
  </r>
  <r>
    <d v="2021-01-14T00:00:00"/>
    <x v="6"/>
    <x v="23"/>
    <n v="48.4"/>
    <n v="14"/>
    <n v="677.6"/>
    <x v="0"/>
    <x v="3"/>
    <x v="0"/>
    <x v="2"/>
  </r>
  <r>
    <d v="2021-01-15T00:00:00"/>
    <x v="23"/>
    <x v="15"/>
    <n v="47.730000000000004"/>
    <n v="15"/>
    <n v="715.95"/>
    <x v="0"/>
    <x v="6"/>
    <x v="0"/>
    <x v="2"/>
  </r>
  <r>
    <d v="2021-01-15T00:00:00"/>
    <x v="10"/>
    <x v="1"/>
    <n v="141.57"/>
    <n v="10"/>
    <n v="1415.6999999999998"/>
    <x v="2"/>
    <x v="4"/>
    <x v="0"/>
    <x v="2"/>
  </r>
  <r>
    <d v="2021-01-16T00:00:00"/>
    <x v="12"/>
    <x v="7"/>
    <n v="146.72"/>
    <n v="11"/>
    <n v="1613.92"/>
    <x v="4"/>
    <x v="4"/>
    <x v="0"/>
    <x v="2"/>
  </r>
  <r>
    <d v="2021-01-17T00:00:00"/>
    <x v="24"/>
    <x v="18"/>
    <n v="115.2"/>
    <n v="4"/>
    <n v="460.8"/>
    <x v="2"/>
    <x v="4"/>
    <x v="0"/>
    <x v="3"/>
  </r>
  <r>
    <d v="2021-01-18T00:00:00"/>
    <x v="15"/>
    <x v="26"/>
    <n v="94.62"/>
    <n v="9"/>
    <n v="851.58"/>
    <x v="4"/>
    <x v="4"/>
    <x v="0"/>
    <x v="3"/>
  </r>
  <r>
    <d v="2021-01-18T00:00:00"/>
    <x v="18"/>
    <x v="27"/>
    <n v="149.46"/>
    <n v="3"/>
    <n v="448.38"/>
    <x v="0"/>
    <x v="5"/>
    <x v="0"/>
    <x v="3"/>
  </r>
  <r>
    <d v="2021-01-18T00:00:00"/>
    <x v="25"/>
    <x v="28"/>
    <n v="82.08"/>
    <n v="13"/>
    <n v="1067.04"/>
    <x v="0"/>
    <x v="2"/>
    <x v="0"/>
    <x v="3"/>
  </r>
  <r>
    <d v="2021-01-19T00:00:00"/>
    <x v="10"/>
    <x v="12"/>
    <n v="6.7"/>
    <n v="6"/>
    <n v="40.200000000000003"/>
    <x v="2"/>
    <x v="4"/>
    <x v="0"/>
    <x v="3"/>
  </r>
  <r>
    <d v="2021-01-20T00:00:00"/>
    <x v="13"/>
    <x v="21"/>
    <n v="58.3"/>
    <n v="4"/>
    <n v="233.2"/>
    <x v="5"/>
    <x v="4"/>
    <x v="0"/>
    <x v="3"/>
  </r>
  <r>
    <d v="2021-01-20T00:00:00"/>
    <x v="5"/>
    <x v="29"/>
    <n v="76.25"/>
    <n v="4"/>
    <n v="305"/>
    <x v="0"/>
    <x v="2"/>
    <x v="0"/>
    <x v="3"/>
  </r>
  <r>
    <d v="2021-01-20T00:00:00"/>
    <x v="9"/>
    <x v="30"/>
    <n v="162.54"/>
    <n v="2"/>
    <n v="325.08"/>
    <x v="0"/>
    <x v="0"/>
    <x v="0"/>
    <x v="3"/>
  </r>
  <r>
    <d v="2021-01-20T00:00:00"/>
    <x v="26"/>
    <x v="7"/>
    <n v="146.72"/>
    <n v="7"/>
    <n v="1027.04"/>
    <x v="10"/>
    <x v="4"/>
    <x v="0"/>
    <x v="3"/>
  </r>
  <r>
    <d v="2021-01-21T00:00:00"/>
    <x v="19"/>
    <x v="9"/>
    <n v="48.84"/>
    <n v="15"/>
    <n v="732.6"/>
    <x v="4"/>
    <x v="4"/>
    <x v="0"/>
    <x v="3"/>
  </r>
  <r>
    <d v="2021-01-21T00:00:00"/>
    <x v="6"/>
    <x v="24"/>
    <n v="162"/>
    <n v="6"/>
    <n v="972"/>
    <x v="0"/>
    <x v="3"/>
    <x v="0"/>
    <x v="3"/>
  </r>
  <r>
    <d v="2021-01-21T00:00:00"/>
    <x v="1"/>
    <x v="19"/>
    <n v="80.94"/>
    <n v="9"/>
    <n v="728.46"/>
    <x v="0"/>
    <x v="1"/>
    <x v="0"/>
    <x v="3"/>
  </r>
  <r>
    <d v="2021-01-22T00:00:00"/>
    <x v="27"/>
    <x v="31"/>
    <n v="103.88"/>
    <n v="6"/>
    <n v="623.28"/>
    <x v="0"/>
    <x v="1"/>
    <x v="0"/>
    <x v="3"/>
  </r>
  <r>
    <d v="2021-01-23T00:00:00"/>
    <x v="21"/>
    <x v="20"/>
    <n v="142.80000000000001"/>
    <n v="5"/>
    <n v="714"/>
    <x v="8"/>
    <x v="4"/>
    <x v="0"/>
    <x v="3"/>
  </r>
  <r>
    <d v="2021-01-23T00:00:00"/>
    <x v="9"/>
    <x v="26"/>
    <n v="94.62"/>
    <n v="17"/>
    <n v="1608.54"/>
    <x v="0"/>
    <x v="0"/>
    <x v="0"/>
    <x v="3"/>
  </r>
  <r>
    <d v="2021-01-23T00:00:00"/>
    <x v="18"/>
    <x v="24"/>
    <n v="162"/>
    <n v="8"/>
    <n v="1296"/>
    <x v="0"/>
    <x v="5"/>
    <x v="0"/>
    <x v="3"/>
  </r>
  <r>
    <d v="2021-01-24T00:00:00"/>
    <x v="14"/>
    <x v="32"/>
    <n v="201.28"/>
    <n v="15"/>
    <n v="3019.2"/>
    <x v="0"/>
    <x v="3"/>
    <x v="0"/>
    <x v="4"/>
  </r>
  <r>
    <d v="2021-01-25T00:00:00"/>
    <x v="16"/>
    <x v="16"/>
    <n v="104.16"/>
    <n v="14"/>
    <n v="1458.24"/>
    <x v="6"/>
    <x v="4"/>
    <x v="0"/>
    <x v="4"/>
  </r>
  <r>
    <d v="2021-01-25T00:00:00"/>
    <x v="2"/>
    <x v="12"/>
    <n v="6.7"/>
    <n v="7"/>
    <n v="46.9"/>
    <x v="0"/>
    <x v="2"/>
    <x v="0"/>
    <x v="4"/>
  </r>
  <r>
    <d v="2021-01-25T00:00:00"/>
    <x v="24"/>
    <x v="21"/>
    <n v="58.3"/>
    <n v="6"/>
    <n v="349.79999999999995"/>
    <x v="2"/>
    <x v="4"/>
    <x v="0"/>
    <x v="4"/>
  </r>
  <r>
    <d v="2021-01-25T00:00:00"/>
    <x v="20"/>
    <x v="33"/>
    <n v="156.78"/>
    <n v="14"/>
    <n v="2194.92"/>
    <x v="7"/>
    <x v="4"/>
    <x v="0"/>
    <x v="4"/>
  </r>
  <r>
    <d v="2021-01-26T00:00:00"/>
    <x v="2"/>
    <x v="0"/>
    <n v="156.96"/>
    <n v="29"/>
    <n v="4551.84"/>
    <x v="0"/>
    <x v="2"/>
    <x v="0"/>
    <x v="4"/>
  </r>
  <r>
    <d v="2021-01-26T00:00:00"/>
    <x v="15"/>
    <x v="28"/>
    <n v="82.08"/>
    <n v="9"/>
    <n v="738.72"/>
    <x v="4"/>
    <x v="4"/>
    <x v="0"/>
    <x v="4"/>
  </r>
  <r>
    <d v="2021-01-26T00:00:00"/>
    <x v="8"/>
    <x v="31"/>
    <n v="103.88"/>
    <n v="7"/>
    <n v="727.16"/>
    <x v="0"/>
    <x v="3"/>
    <x v="0"/>
    <x v="4"/>
  </r>
  <r>
    <d v="2021-01-26T00:00:00"/>
    <x v="22"/>
    <x v="34"/>
    <n v="85.5"/>
    <n v="7"/>
    <n v="598.5"/>
    <x v="9"/>
    <x v="4"/>
    <x v="0"/>
    <x v="4"/>
  </r>
  <r>
    <d v="2021-01-26T00:00:00"/>
    <x v="9"/>
    <x v="5"/>
    <n v="164.28"/>
    <n v="1"/>
    <n v="164.28"/>
    <x v="0"/>
    <x v="0"/>
    <x v="0"/>
    <x v="4"/>
  </r>
  <r>
    <d v="2021-01-27T00:00:00"/>
    <x v="24"/>
    <x v="13"/>
    <n v="117.48"/>
    <n v="3"/>
    <n v="352.44"/>
    <x v="2"/>
    <x v="4"/>
    <x v="0"/>
    <x v="4"/>
  </r>
  <r>
    <d v="2021-01-27T00:00:00"/>
    <x v="28"/>
    <x v="18"/>
    <n v="115.2"/>
    <n v="7"/>
    <n v="806.4"/>
    <x v="11"/>
    <x v="4"/>
    <x v="0"/>
    <x v="4"/>
  </r>
  <r>
    <d v="2021-01-27T00:00:00"/>
    <x v="17"/>
    <x v="35"/>
    <n v="155.61000000000001"/>
    <n v="37"/>
    <n v="5757.5700000000006"/>
    <x v="5"/>
    <x v="4"/>
    <x v="0"/>
    <x v="4"/>
  </r>
  <r>
    <d v="2021-01-27T00:00:00"/>
    <x v="26"/>
    <x v="14"/>
    <n v="210"/>
    <n v="21"/>
    <n v="4410"/>
    <x v="10"/>
    <x v="4"/>
    <x v="0"/>
    <x v="4"/>
  </r>
  <r>
    <d v="2021-01-28T00:00:00"/>
    <x v="2"/>
    <x v="25"/>
    <n v="16.64"/>
    <n v="11"/>
    <n v="183.04000000000002"/>
    <x v="0"/>
    <x v="2"/>
    <x v="0"/>
    <x v="4"/>
  </r>
  <r>
    <d v="2021-01-28T00:00:00"/>
    <x v="3"/>
    <x v="10"/>
    <n v="53.11"/>
    <n v="2"/>
    <n v="106.22"/>
    <x v="0"/>
    <x v="3"/>
    <x v="0"/>
    <x v="4"/>
  </r>
  <r>
    <d v="2021-01-28T00:00:00"/>
    <x v="7"/>
    <x v="9"/>
    <n v="48.84"/>
    <n v="10"/>
    <n v="488.40000000000003"/>
    <x v="1"/>
    <x v="4"/>
    <x v="0"/>
    <x v="4"/>
  </r>
  <r>
    <d v="2021-01-29T00:00:00"/>
    <x v="0"/>
    <x v="9"/>
    <n v="48.84"/>
    <n v="10"/>
    <n v="488.40000000000003"/>
    <x v="0"/>
    <x v="0"/>
    <x v="0"/>
    <x v="4"/>
  </r>
  <r>
    <d v="2021-01-29T00:00:00"/>
    <x v="18"/>
    <x v="0"/>
    <n v="156.96"/>
    <n v="25"/>
    <n v="3924"/>
    <x v="0"/>
    <x v="5"/>
    <x v="0"/>
    <x v="4"/>
  </r>
  <r>
    <d v="2021-01-29T00:00:00"/>
    <x v="19"/>
    <x v="7"/>
    <n v="146.72"/>
    <n v="21"/>
    <n v="3081.12"/>
    <x v="4"/>
    <x v="4"/>
    <x v="0"/>
    <x v="4"/>
  </r>
  <r>
    <d v="2021-01-30T00:00:00"/>
    <x v="5"/>
    <x v="8"/>
    <n v="83.08"/>
    <n v="2"/>
    <n v="166.16"/>
    <x v="0"/>
    <x v="2"/>
    <x v="0"/>
    <x v="4"/>
  </r>
  <r>
    <d v="2021-01-30T00:00:00"/>
    <x v="20"/>
    <x v="36"/>
    <n v="57.120000000000005"/>
    <n v="2"/>
    <n v="114.24000000000001"/>
    <x v="7"/>
    <x v="4"/>
    <x v="0"/>
    <x v="4"/>
  </r>
  <r>
    <d v="2021-01-31T00:00:00"/>
    <x v="0"/>
    <x v="36"/>
    <n v="57.120000000000005"/>
    <n v="20"/>
    <n v="1142.4000000000001"/>
    <x v="0"/>
    <x v="0"/>
    <x v="0"/>
    <x v="5"/>
  </r>
  <r>
    <d v="2021-01-31T00:00:00"/>
    <x v="0"/>
    <x v="37"/>
    <n v="41.81"/>
    <n v="3"/>
    <n v="125.43"/>
    <x v="0"/>
    <x v="0"/>
    <x v="0"/>
    <x v="5"/>
  </r>
  <r>
    <d v="2021-01-31T00:00:00"/>
    <x v="29"/>
    <x v="38"/>
    <n v="173.88"/>
    <n v="9"/>
    <n v="1564.92"/>
    <x v="0"/>
    <x v="6"/>
    <x v="0"/>
    <x v="5"/>
  </r>
  <r>
    <d v="2021-01-31T00:00:00"/>
    <x v="7"/>
    <x v="19"/>
    <n v="80.94"/>
    <n v="33"/>
    <n v="2671.02"/>
    <x v="1"/>
    <x v="4"/>
    <x v="0"/>
    <x v="5"/>
  </r>
  <r>
    <d v="2021-01-31T00:00:00"/>
    <x v="30"/>
    <x v="27"/>
    <n v="149.46"/>
    <n v="6"/>
    <n v="896.76"/>
    <x v="8"/>
    <x v="4"/>
    <x v="0"/>
    <x v="5"/>
  </r>
  <r>
    <d v="2021-02-01T00:00:00"/>
    <x v="16"/>
    <x v="35"/>
    <n v="155.61000000000001"/>
    <n v="9"/>
    <n v="1400.4900000000002"/>
    <x v="6"/>
    <x v="4"/>
    <x v="1"/>
    <x v="5"/>
  </r>
  <r>
    <d v="2021-02-02T00:00:00"/>
    <x v="5"/>
    <x v="5"/>
    <n v="164.28"/>
    <n v="7"/>
    <n v="1149.96"/>
    <x v="0"/>
    <x v="2"/>
    <x v="1"/>
    <x v="5"/>
  </r>
  <r>
    <d v="2021-02-03T00:00:00"/>
    <x v="2"/>
    <x v="1"/>
    <n v="141.57"/>
    <n v="2"/>
    <n v="283.14"/>
    <x v="0"/>
    <x v="2"/>
    <x v="1"/>
    <x v="5"/>
  </r>
  <r>
    <d v="2021-02-03T00:00:00"/>
    <x v="0"/>
    <x v="14"/>
    <n v="210"/>
    <n v="39"/>
    <n v="8190"/>
    <x v="0"/>
    <x v="0"/>
    <x v="1"/>
    <x v="5"/>
  </r>
  <r>
    <d v="2021-02-03T00:00:00"/>
    <x v="26"/>
    <x v="2"/>
    <n v="79.92"/>
    <n v="27"/>
    <n v="2157.84"/>
    <x v="10"/>
    <x v="4"/>
    <x v="1"/>
    <x v="5"/>
  </r>
  <r>
    <d v="2021-02-03T00:00:00"/>
    <x v="27"/>
    <x v="7"/>
    <n v="146.72"/>
    <n v="8"/>
    <n v="1173.76"/>
    <x v="0"/>
    <x v="1"/>
    <x v="1"/>
    <x v="5"/>
  </r>
  <r>
    <d v="2021-02-03T00:00:00"/>
    <x v="1"/>
    <x v="25"/>
    <n v="16.64"/>
    <n v="13"/>
    <n v="216.32"/>
    <x v="0"/>
    <x v="1"/>
    <x v="1"/>
    <x v="5"/>
  </r>
  <r>
    <d v="2021-02-04T00:00:00"/>
    <x v="19"/>
    <x v="28"/>
    <n v="82.08"/>
    <n v="39"/>
    <n v="3201.12"/>
    <x v="4"/>
    <x v="4"/>
    <x v="1"/>
    <x v="5"/>
  </r>
  <r>
    <d v="2021-02-04T00:00:00"/>
    <x v="26"/>
    <x v="22"/>
    <n v="85.76"/>
    <n v="4"/>
    <n v="343.04"/>
    <x v="10"/>
    <x v="4"/>
    <x v="1"/>
    <x v="5"/>
  </r>
  <r>
    <d v="2021-02-04T00:00:00"/>
    <x v="14"/>
    <x v="7"/>
    <n v="146.72"/>
    <n v="26"/>
    <n v="3814.72"/>
    <x v="0"/>
    <x v="3"/>
    <x v="1"/>
    <x v="5"/>
  </r>
  <r>
    <d v="2021-02-04T00:00:00"/>
    <x v="27"/>
    <x v="17"/>
    <n v="8.33"/>
    <n v="3"/>
    <n v="24.990000000000002"/>
    <x v="0"/>
    <x v="1"/>
    <x v="1"/>
    <x v="5"/>
  </r>
  <r>
    <d v="2021-02-05T00:00:00"/>
    <x v="16"/>
    <x v="19"/>
    <n v="80.94"/>
    <n v="24"/>
    <n v="1942.56"/>
    <x v="6"/>
    <x v="4"/>
    <x v="1"/>
    <x v="5"/>
  </r>
  <r>
    <d v="2021-02-05T00:00:00"/>
    <x v="12"/>
    <x v="39"/>
    <n v="42.55"/>
    <n v="38"/>
    <n v="1616.8999999999999"/>
    <x v="4"/>
    <x v="4"/>
    <x v="1"/>
    <x v="5"/>
  </r>
  <r>
    <d v="2021-02-05T00:00:00"/>
    <x v="21"/>
    <x v="35"/>
    <n v="155.61000000000001"/>
    <n v="1"/>
    <n v="155.61000000000001"/>
    <x v="8"/>
    <x v="4"/>
    <x v="1"/>
    <x v="5"/>
  </r>
  <r>
    <d v="2021-02-05T00:00:00"/>
    <x v="17"/>
    <x v="8"/>
    <n v="83.08"/>
    <n v="7"/>
    <n v="581.55999999999995"/>
    <x v="5"/>
    <x v="4"/>
    <x v="1"/>
    <x v="5"/>
  </r>
  <r>
    <d v="2021-02-05T00:00:00"/>
    <x v="10"/>
    <x v="8"/>
    <n v="83.08"/>
    <n v="9"/>
    <n v="747.72"/>
    <x v="2"/>
    <x v="4"/>
    <x v="1"/>
    <x v="5"/>
  </r>
  <r>
    <d v="2021-02-05T00:00:00"/>
    <x v="30"/>
    <x v="40"/>
    <n v="49.21"/>
    <n v="6"/>
    <n v="295.26"/>
    <x v="8"/>
    <x v="4"/>
    <x v="1"/>
    <x v="5"/>
  </r>
  <r>
    <d v="2021-02-06T00:00:00"/>
    <x v="2"/>
    <x v="41"/>
    <n v="7.8599999999999994"/>
    <n v="30"/>
    <n v="235.79999999999998"/>
    <x v="0"/>
    <x v="2"/>
    <x v="1"/>
    <x v="5"/>
  </r>
  <r>
    <d v="2021-02-06T00:00:00"/>
    <x v="29"/>
    <x v="20"/>
    <n v="142.80000000000001"/>
    <n v="6"/>
    <n v="856.80000000000007"/>
    <x v="0"/>
    <x v="6"/>
    <x v="1"/>
    <x v="5"/>
  </r>
  <r>
    <d v="2021-02-06T00:00:00"/>
    <x v="1"/>
    <x v="12"/>
    <n v="6.7"/>
    <n v="1"/>
    <n v="6.7"/>
    <x v="0"/>
    <x v="1"/>
    <x v="1"/>
    <x v="5"/>
  </r>
  <r>
    <d v="2021-02-07T00:00:00"/>
    <x v="24"/>
    <x v="12"/>
    <n v="6.7"/>
    <n v="29"/>
    <n v="194.3"/>
    <x v="2"/>
    <x v="4"/>
    <x v="1"/>
    <x v="6"/>
  </r>
  <r>
    <d v="2021-02-07T00:00:00"/>
    <x v="26"/>
    <x v="25"/>
    <n v="16.64"/>
    <n v="5"/>
    <n v="83.2"/>
    <x v="10"/>
    <x v="4"/>
    <x v="1"/>
    <x v="6"/>
  </r>
  <r>
    <d v="2021-02-08T00:00:00"/>
    <x v="3"/>
    <x v="9"/>
    <n v="48.84"/>
    <n v="3"/>
    <n v="146.52000000000001"/>
    <x v="0"/>
    <x v="3"/>
    <x v="1"/>
    <x v="6"/>
  </r>
  <r>
    <d v="2021-02-08T00:00:00"/>
    <x v="12"/>
    <x v="35"/>
    <n v="155.61000000000001"/>
    <n v="11"/>
    <n v="1711.71"/>
    <x v="4"/>
    <x v="4"/>
    <x v="1"/>
    <x v="6"/>
  </r>
  <r>
    <d v="2021-02-08T00:00:00"/>
    <x v="15"/>
    <x v="18"/>
    <n v="115.2"/>
    <n v="39"/>
    <n v="4492.8"/>
    <x v="4"/>
    <x v="4"/>
    <x v="1"/>
    <x v="6"/>
  </r>
  <r>
    <d v="2021-02-08T00:00:00"/>
    <x v="15"/>
    <x v="32"/>
    <n v="201.28"/>
    <n v="12"/>
    <n v="2415.36"/>
    <x v="4"/>
    <x v="4"/>
    <x v="1"/>
    <x v="6"/>
  </r>
  <r>
    <d v="2021-02-09T00:00:00"/>
    <x v="17"/>
    <x v="21"/>
    <n v="58.3"/>
    <n v="14"/>
    <n v="816.19999999999993"/>
    <x v="5"/>
    <x v="4"/>
    <x v="1"/>
    <x v="6"/>
  </r>
  <r>
    <d v="2021-02-09T00:00:00"/>
    <x v="17"/>
    <x v="30"/>
    <n v="162.54"/>
    <n v="32"/>
    <n v="5201.28"/>
    <x v="5"/>
    <x v="4"/>
    <x v="1"/>
    <x v="6"/>
  </r>
  <r>
    <d v="2021-02-09T00:00:00"/>
    <x v="30"/>
    <x v="13"/>
    <n v="117.48"/>
    <n v="14"/>
    <n v="1644.72"/>
    <x v="8"/>
    <x v="4"/>
    <x v="1"/>
    <x v="6"/>
  </r>
  <r>
    <d v="2021-02-10T00:00:00"/>
    <x v="31"/>
    <x v="14"/>
    <n v="210"/>
    <n v="4"/>
    <n v="840"/>
    <x v="9"/>
    <x v="4"/>
    <x v="1"/>
    <x v="6"/>
  </r>
  <r>
    <d v="2021-02-10T00:00:00"/>
    <x v="18"/>
    <x v="26"/>
    <n v="94.62"/>
    <n v="38"/>
    <n v="3595.5600000000004"/>
    <x v="0"/>
    <x v="5"/>
    <x v="1"/>
    <x v="6"/>
  </r>
  <r>
    <d v="2021-02-12T00:00:00"/>
    <x v="16"/>
    <x v="27"/>
    <n v="149.46"/>
    <n v="9"/>
    <n v="1345.14"/>
    <x v="6"/>
    <x v="4"/>
    <x v="1"/>
    <x v="6"/>
  </r>
  <r>
    <d v="2021-02-12T00:00:00"/>
    <x v="0"/>
    <x v="5"/>
    <n v="164.28"/>
    <n v="13"/>
    <n v="2135.64"/>
    <x v="0"/>
    <x v="0"/>
    <x v="1"/>
    <x v="6"/>
  </r>
  <r>
    <d v="2021-02-12T00:00:00"/>
    <x v="28"/>
    <x v="26"/>
    <n v="94.62"/>
    <n v="7"/>
    <n v="662.34"/>
    <x v="11"/>
    <x v="4"/>
    <x v="1"/>
    <x v="6"/>
  </r>
  <r>
    <d v="2021-02-13T00:00:00"/>
    <x v="0"/>
    <x v="19"/>
    <n v="80.94"/>
    <n v="17"/>
    <n v="1375.98"/>
    <x v="0"/>
    <x v="0"/>
    <x v="1"/>
    <x v="6"/>
  </r>
  <r>
    <d v="2021-02-13T00:00:00"/>
    <x v="19"/>
    <x v="35"/>
    <n v="155.61000000000001"/>
    <n v="35"/>
    <n v="5446.35"/>
    <x v="4"/>
    <x v="4"/>
    <x v="1"/>
    <x v="6"/>
  </r>
  <r>
    <d v="2021-02-14T00:00:00"/>
    <x v="16"/>
    <x v="37"/>
    <n v="41.81"/>
    <n v="3"/>
    <n v="125.43"/>
    <x v="6"/>
    <x v="4"/>
    <x v="1"/>
    <x v="7"/>
  </r>
  <r>
    <d v="2021-02-14T00:00:00"/>
    <x v="20"/>
    <x v="21"/>
    <n v="58.3"/>
    <n v="8"/>
    <n v="466.4"/>
    <x v="7"/>
    <x v="4"/>
    <x v="1"/>
    <x v="7"/>
  </r>
  <r>
    <d v="2021-02-14T00:00:00"/>
    <x v="30"/>
    <x v="42"/>
    <n v="24.66"/>
    <n v="8"/>
    <n v="197.28"/>
    <x v="8"/>
    <x v="4"/>
    <x v="1"/>
    <x v="7"/>
  </r>
  <r>
    <d v="2021-02-15T00:00:00"/>
    <x v="16"/>
    <x v="10"/>
    <n v="53.11"/>
    <n v="28"/>
    <n v="1487.08"/>
    <x v="6"/>
    <x v="4"/>
    <x v="1"/>
    <x v="7"/>
  </r>
  <r>
    <d v="2021-02-15T00:00:00"/>
    <x v="15"/>
    <x v="36"/>
    <n v="57.120000000000005"/>
    <n v="4"/>
    <n v="228.48000000000002"/>
    <x v="4"/>
    <x v="4"/>
    <x v="1"/>
    <x v="7"/>
  </r>
  <r>
    <d v="2021-02-16T00:00:00"/>
    <x v="0"/>
    <x v="4"/>
    <n v="15.719999999999999"/>
    <n v="26"/>
    <n v="408.71999999999997"/>
    <x v="0"/>
    <x v="0"/>
    <x v="1"/>
    <x v="7"/>
  </r>
  <r>
    <d v="2021-02-16T00:00:00"/>
    <x v="7"/>
    <x v="13"/>
    <n v="117.48"/>
    <n v="1"/>
    <n v="117.48"/>
    <x v="1"/>
    <x v="4"/>
    <x v="1"/>
    <x v="7"/>
  </r>
  <r>
    <d v="2021-02-17T00:00:00"/>
    <x v="28"/>
    <x v="8"/>
    <n v="83.08"/>
    <n v="19"/>
    <n v="1578.52"/>
    <x v="11"/>
    <x v="4"/>
    <x v="1"/>
    <x v="7"/>
  </r>
  <r>
    <d v="2021-02-17T00:00:00"/>
    <x v="28"/>
    <x v="3"/>
    <n v="119.7"/>
    <n v="19"/>
    <n v="2274.3000000000002"/>
    <x v="11"/>
    <x v="4"/>
    <x v="1"/>
    <x v="7"/>
  </r>
  <r>
    <d v="2021-02-17T00:00:00"/>
    <x v="25"/>
    <x v="28"/>
    <n v="82.08"/>
    <n v="2"/>
    <n v="164.16"/>
    <x v="0"/>
    <x v="2"/>
    <x v="1"/>
    <x v="7"/>
  </r>
  <r>
    <d v="2021-02-18T00:00:00"/>
    <x v="28"/>
    <x v="4"/>
    <n v="15.719999999999999"/>
    <n v="6"/>
    <n v="94.32"/>
    <x v="11"/>
    <x v="4"/>
    <x v="1"/>
    <x v="7"/>
  </r>
  <r>
    <d v="2021-02-19T00:00:00"/>
    <x v="0"/>
    <x v="20"/>
    <n v="142.80000000000001"/>
    <n v="13"/>
    <n v="1856.4"/>
    <x v="0"/>
    <x v="0"/>
    <x v="1"/>
    <x v="7"/>
  </r>
  <r>
    <d v="2021-02-20T00:00:00"/>
    <x v="29"/>
    <x v="11"/>
    <n v="94.17"/>
    <n v="6"/>
    <n v="565.02"/>
    <x v="0"/>
    <x v="6"/>
    <x v="1"/>
    <x v="7"/>
  </r>
  <r>
    <d v="2021-02-20T00:00:00"/>
    <x v="19"/>
    <x v="32"/>
    <n v="201.28"/>
    <n v="11"/>
    <n v="2214.08"/>
    <x v="4"/>
    <x v="4"/>
    <x v="1"/>
    <x v="7"/>
  </r>
  <r>
    <d v="2021-02-21T00:00:00"/>
    <x v="31"/>
    <x v="40"/>
    <n v="49.21"/>
    <n v="30"/>
    <n v="1476.3"/>
    <x v="9"/>
    <x v="4"/>
    <x v="1"/>
    <x v="8"/>
  </r>
  <r>
    <d v="2021-02-22T00:00:00"/>
    <x v="10"/>
    <x v="6"/>
    <n v="122.08"/>
    <n v="5"/>
    <n v="610.4"/>
    <x v="2"/>
    <x v="4"/>
    <x v="1"/>
    <x v="8"/>
  </r>
  <r>
    <d v="2021-02-23T00:00:00"/>
    <x v="16"/>
    <x v="6"/>
    <n v="122.08"/>
    <n v="6"/>
    <n v="732.48"/>
    <x v="6"/>
    <x v="4"/>
    <x v="1"/>
    <x v="8"/>
  </r>
  <r>
    <d v="2021-02-23T00:00:00"/>
    <x v="13"/>
    <x v="17"/>
    <n v="8.33"/>
    <n v="3"/>
    <n v="24.990000000000002"/>
    <x v="5"/>
    <x v="4"/>
    <x v="1"/>
    <x v="8"/>
  </r>
  <r>
    <d v="2021-02-23T00:00:00"/>
    <x v="5"/>
    <x v="25"/>
    <n v="16.64"/>
    <n v="15"/>
    <n v="249.60000000000002"/>
    <x v="0"/>
    <x v="2"/>
    <x v="1"/>
    <x v="8"/>
  </r>
  <r>
    <d v="2021-02-23T00:00:00"/>
    <x v="23"/>
    <x v="35"/>
    <n v="155.61000000000001"/>
    <n v="2"/>
    <n v="311.22000000000003"/>
    <x v="0"/>
    <x v="6"/>
    <x v="1"/>
    <x v="8"/>
  </r>
  <r>
    <d v="2021-02-23T00:00:00"/>
    <x v="19"/>
    <x v="43"/>
    <n v="96.3"/>
    <n v="8"/>
    <n v="770.4"/>
    <x v="4"/>
    <x v="4"/>
    <x v="1"/>
    <x v="8"/>
  </r>
  <r>
    <d v="2021-02-25T00:00:00"/>
    <x v="23"/>
    <x v="6"/>
    <n v="122.08"/>
    <n v="10"/>
    <n v="1220.8"/>
    <x v="0"/>
    <x v="6"/>
    <x v="1"/>
    <x v="8"/>
  </r>
  <r>
    <d v="2021-02-25T00:00:00"/>
    <x v="29"/>
    <x v="39"/>
    <n v="42.55"/>
    <n v="38"/>
    <n v="1616.8999999999999"/>
    <x v="0"/>
    <x v="6"/>
    <x v="1"/>
    <x v="8"/>
  </r>
  <r>
    <d v="2021-02-25T00:00:00"/>
    <x v="26"/>
    <x v="13"/>
    <n v="117.48"/>
    <n v="11"/>
    <n v="1292.28"/>
    <x v="10"/>
    <x v="4"/>
    <x v="1"/>
    <x v="8"/>
  </r>
  <r>
    <d v="2021-02-25T00:00:00"/>
    <x v="27"/>
    <x v="32"/>
    <n v="201.28"/>
    <n v="2"/>
    <n v="402.56"/>
    <x v="0"/>
    <x v="1"/>
    <x v="1"/>
    <x v="8"/>
  </r>
  <r>
    <d v="2021-02-25T00:00:00"/>
    <x v="1"/>
    <x v="20"/>
    <n v="142.80000000000001"/>
    <n v="4"/>
    <n v="571.20000000000005"/>
    <x v="0"/>
    <x v="1"/>
    <x v="1"/>
    <x v="8"/>
  </r>
  <r>
    <d v="2021-02-26T00:00:00"/>
    <x v="28"/>
    <x v="0"/>
    <n v="156.96"/>
    <n v="28"/>
    <n v="4394.88"/>
    <x v="11"/>
    <x v="4"/>
    <x v="1"/>
    <x v="8"/>
  </r>
  <r>
    <d v="2021-02-26T00:00:00"/>
    <x v="10"/>
    <x v="41"/>
    <n v="7.8599999999999994"/>
    <n v="2"/>
    <n v="15.719999999999999"/>
    <x v="2"/>
    <x v="4"/>
    <x v="1"/>
    <x v="8"/>
  </r>
  <r>
    <d v="2021-02-27T00:00:00"/>
    <x v="32"/>
    <x v="17"/>
    <n v="8.33"/>
    <n v="7"/>
    <n v="58.31"/>
    <x v="0"/>
    <x v="5"/>
    <x v="1"/>
    <x v="8"/>
  </r>
  <r>
    <d v="2021-02-27T00:00:00"/>
    <x v="5"/>
    <x v="43"/>
    <n v="96.3"/>
    <n v="3"/>
    <n v="288.89999999999998"/>
    <x v="0"/>
    <x v="2"/>
    <x v="1"/>
    <x v="8"/>
  </r>
  <r>
    <d v="2021-02-27T00:00:00"/>
    <x v="29"/>
    <x v="40"/>
    <n v="49.21"/>
    <n v="11"/>
    <n v="541.31000000000006"/>
    <x v="0"/>
    <x v="6"/>
    <x v="1"/>
    <x v="8"/>
  </r>
  <r>
    <d v="2021-02-27T00:00:00"/>
    <x v="19"/>
    <x v="35"/>
    <n v="155.61000000000001"/>
    <n v="15"/>
    <n v="2334.15"/>
    <x v="4"/>
    <x v="4"/>
    <x v="1"/>
    <x v="8"/>
  </r>
  <r>
    <d v="2021-02-27T00:00:00"/>
    <x v="30"/>
    <x v="11"/>
    <n v="94.17"/>
    <n v="7"/>
    <n v="659.19"/>
    <x v="8"/>
    <x v="4"/>
    <x v="1"/>
    <x v="8"/>
  </r>
  <r>
    <d v="2021-02-28T00:00:00"/>
    <x v="7"/>
    <x v="22"/>
    <n v="85.76"/>
    <n v="15"/>
    <n v="1286.4000000000001"/>
    <x v="1"/>
    <x v="4"/>
    <x v="1"/>
    <x v="9"/>
  </r>
  <r>
    <d v="2021-03-01T00:00:00"/>
    <x v="25"/>
    <x v="37"/>
    <n v="41.81"/>
    <n v="28"/>
    <n v="1170.68"/>
    <x v="0"/>
    <x v="2"/>
    <x v="2"/>
    <x v="9"/>
  </r>
  <r>
    <d v="2021-03-02T00:00:00"/>
    <x v="28"/>
    <x v="0"/>
    <n v="156.96"/>
    <n v="21"/>
    <n v="3296.1600000000003"/>
    <x v="11"/>
    <x v="4"/>
    <x v="2"/>
    <x v="9"/>
  </r>
  <r>
    <d v="2021-03-02T00:00:00"/>
    <x v="9"/>
    <x v="20"/>
    <n v="142.80000000000001"/>
    <n v="1"/>
    <n v="142.80000000000001"/>
    <x v="0"/>
    <x v="0"/>
    <x v="2"/>
    <x v="9"/>
  </r>
  <r>
    <d v="2021-03-02T00:00:00"/>
    <x v="29"/>
    <x v="31"/>
    <n v="103.88"/>
    <n v="30"/>
    <n v="3116.3999999999996"/>
    <x v="0"/>
    <x v="6"/>
    <x v="2"/>
    <x v="9"/>
  </r>
  <r>
    <d v="2021-03-03T00:00:00"/>
    <x v="13"/>
    <x v="23"/>
    <n v="48.4"/>
    <n v="1"/>
    <n v="48.4"/>
    <x v="5"/>
    <x v="4"/>
    <x v="2"/>
    <x v="9"/>
  </r>
  <r>
    <d v="2021-03-03T00:00:00"/>
    <x v="32"/>
    <x v="43"/>
    <n v="96.3"/>
    <n v="29"/>
    <n v="2792.7"/>
    <x v="0"/>
    <x v="5"/>
    <x v="2"/>
    <x v="9"/>
  </r>
  <r>
    <d v="2021-03-04T00:00:00"/>
    <x v="9"/>
    <x v="42"/>
    <n v="24.66"/>
    <n v="13"/>
    <n v="320.58"/>
    <x v="0"/>
    <x v="0"/>
    <x v="2"/>
    <x v="9"/>
  </r>
  <r>
    <d v="2021-03-04T00:00:00"/>
    <x v="25"/>
    <x v="9"/>
    <n v="48.84"/>
    <n v="23"/>
    <n v="1123.3200000000002"/>
    <x v="0"/>
    <x v="2"/>
    <x v="2"/>
    <x v="9"/>
  </r>
  <r>
    <d v="2021-03-04T00:00:00"/>
    <x v="26"/>
    <x v="17"/>
    <n v="8.33"/>
    <n v="26"/>
    <n v="216.58"/>
    <x v="10"/>
    <x v="4"/>
    <x v="2"/>
    <x v="9"/>
  </r>
  <r>
    <d v="2021-03-05T00:00:00"/>
    <x v="29"/>
    <x v="18"/>
    <n v="115.2"/>
    <n v="33"/>
    <n v="3801.6"/>
    <x v="0"/>
    <x v="6"/>
    <x v="2"/>
    <x v="9"/>
  </r>
  <r>
    <d v="2021-03-06T00:00:00"/>
    <x v="9"/>
    <x v="9"/>
    <n v="48.84"/>
    <n v="2"/>
    <n v="97.68"/>
    <x v="0"/>
    <x v="0"/>
    <x v="2"/>
    <x v="9"/>
  </r>
  <r>
    <d v="2021-03-07T00:00:00"/>
    <x v="16"/>
    <x v="19"/>
    <n v="80.94"/>
    <n v="1"/>
    <n v="80.94"/>
    <x v="6"/>
    <x v="4"/>
    <x v="2"/>
    <x v="10"/>
  </r>
  <r>
    <d v="2021-03-07T00:00:00"/>
    <x v="0"/>
    <x v="30"/>
    <n v="162.54"/>
    <n v="9"/>
    <n v="1462.86"/>
    <x v="0"/>
    <x v="0"/>
    <x v="2"/>
    <x v="10"/>
  </r>
  <r>
    <d v="2021-03-07T00:00:00"/>
    <x v="32"/>
    <x v="33"/>
    <n v="156.78"/>
    <n v="25"/>
    <n v="3919.5"/>
    <x v="0"/>
    <x v="5"/>
    <x v="2"/>
    <x v="10"/>
  </r>
  <r>
    <d v="2021-03-08T00:00:00"/>
    <x v="2"/>
    <x v="1"/>
    <n v="141.57"/>
    <n v="22"/>
    <n v="3114.54"/>
    <x v="0"/>
    <x v="2"/>
    <x v="2"/>
    <x v="10"/>
  </r>
  <r>
    <d v="2021-03-08T00:00:00"/>
    <x v="9"/>
    <x v="28"/>
    <n v="82.08"/>
    <n v="9"/>
    <n v="738.72"/>
    <x v="0"/>
    <x v="0"/>
    <x v="2"/>
    <x v="10"/>
  </r>
  <r>
    <d v="2021-03-08T00:00:00"/>
    <x v="26"/>
    <x v="36"/>
    <n v="57.120000000000005"/>
    <n v="6"/>
    <n v="342.72"/>
    <x v="10"/>
    <x v="4"/>
    <x v="2"/>
    <x v="10"/>
  </r>
  <r>
    <d v="2021-03-08T00:00:00"/>
    <x v="30"/>
    <x v="28"/>
    <n v="82.08"/>
    <n v="6"/>
    <n v="492.48"/>
    <x v="8"/>
    <x v="4"/>
    <x v="2"/>
    <x v="10"/>
  </r>
  <r>
    <d v="2021-03-09T00:00:00"/>
    <x v="31"/>
    <x v="32"/>
    <n v="201.28"/>
    <n v="3"/>
    <n v="603.84"/>
    <x v="9"/>
    <x v="4"/>
    <x v="2"/>
    <x v="10"/>
  </r>
  <r>
    <d v="2021-03-09T00:00:00"/>
    <x v="17"/>
    <x v="9"/>
    <n v="48.84"/>
    <n v="11"/>
    <n v="537.24"/>
    <x v="5"/>
    <x v="4"/>
    <x v="2"/>
    <x v="10"/>
  </r>
  <r>
    <d v="2021-03-09T00:00:00"/>
    <x v="9"/>
    <x v="10"/>
    <n v="53.11"/>
    <n v="6"/>
    <n v="318.65999999999997"/>
    <x v="0"/>
    <x v="0"/>
    <x v="2"/>
    <x v="10"/>
  </r>
  <r>
    <d v="2021-03-10T00:00:00"/>
    <x v="33"/>
    <x v="3"/>
    <n v="119.7"/>
    <n v="12"/>
    <n v="1436.4"/>
    <x v="12"/>
    <x v="4"/>
    <x v="2"/>
    <x v="10"/>
  </r>
  <r>
    <d v="2021-03-10T00:00:00"/>
    <x v="17"/>
    <x v="20"/>
    <n v="142.80000000000001"/>
    <n v="6"/>
    <n v="856.80000000000007"/>
    <x v="5"/>
    <x v="4"/>
    <x v="2"/>
    <x v="10"/>
  </r>
  <r>
    <d v="2021-03-11T00:00:00"/>
    <x v="22"/>
    <x v="13"/>
    <n v="117.48"/>
    <n v="8"/>
    <n v="939.84"/>
    <x v="9"/>
    <x v="4"/>
    <x v="2"/>
    <x v="10"/>
  </r>
  <r>
    <d v="2021-03-11T00:00:00"/>
    <x v="9"/>
    <x v="17"/>
    <n v="8.33"/>
    <n v="11"/>
    <n v="91.63"/>
    <x v="0"/>
    <x v="0"/>
    <x v="2"/>
    <x v="10"/>
  </r>
  <r>
    <d v="2021-03-11T00:00:00"/>
    <x v="1"/>
    <x v="11"/>
    <n v="94.17"/>
    <n v="36"/>
    <n v="3390.12"/>
    <x v="0"/>
    <x v="1"/>
    <x v="2"/>
    <x v="10"/>
  </r>
  <r>
    <d v="2021-03-13T00:00:00"/>
    <x v="13"/>
    <x v="12"/>
    <n v="6.7"/>
    <n v="10"/>
    <n v="67"/>
    <x v="5"/>
    <x v="4"/>
    <x v="2"/>
    <x v="10"/>
  </r>
  <r>
    <d v="2021-03-13T00:00:00"/>
    <x v="23"/>
    <x v="37"/>
    <n v="41.81"/>
    <n v="10"/>
    <n v="418.1"/>
    <x v="0"/>
    <x v="6"/>
    <x v="2"/>
    <x v="10"/>
  </r>
  <r>
    <d v="2021-03-14T00:00:00"/>
    <x v="31"/>
    <x v="1"/>
    <n v="141.57"/>
    <n v="15"/>
    <n v="2123.5499999999997"/>
    <x v="9"/>
    <x v="4"/>
    <x v="2"/>
    <x v="11"/>
  </r>
  <r>
    <d v="2021-03-14T00:00:00"/>
    <x v="28"/>
    <x v="25"/>
    <n v="16.64"/>
    <n v="2"/>
    <n v="33.28"/>
    <x v="11"/>
    <x v="4"/>
    <x v="2"/>
    <x v="11"/>
  </r>
  <r>
    <d v="2021-03-14T00:00:00"/>
    <x v="10"/>
    <x v="24"/>
    <n v="162"/>
    <n v="32"/>
    <n v="5184"/>
    <x v="2"/>
    <x v="4"/>
    <x v="2"/>
    <x v="11"/>
  </r>
  <r>
    <d v="2021-03-14T00:00:00"/>
    <x v="7"/>
    <x v="42"/>
    <n v="24.66"/>
    <n v="13"/>
    <n v="320.58"/>
    <x v="1"/>
    <x v="4"/>
    <x v="2"/>
    <x v="11"/>
  </r>
  <r>
    <d v="2021-03-15T00:00:00"/>
    <x v="23"/>
    <x v="43"/>
    <n v="96.3"/>
    <n v="9"/>
    <n v="866.69999999999993"/>
    <x v="0"/>
    <x v="6"/>
    <x v="2"/>
    <x v="11"/>
  </r>
  <r>
    <d v="2021-03-15T00:00:00"/>
    <x v="29"/>
    <x v="39"/>
    <n v="42.55"/>
    <n v="11"/>
    <n v="468.04999999999995"/>
    <x v="0"/>
    <x v="6"/>
    <x v="2"/>
    <x v="11"/>
  </r>
  <r>
    <d v="2021-03-16T00:00:00"/>
    <x v="31"/>
    <x v="11"/>
    <n v="94.17"/>
    <n v="14"/>
    <n v="1318.38"/>
    <x v="9"/>
    <x v="4"/>
    <x v="2"/>
    <x v="11"/>
  </r>
  <r>
    <d v="2021-03-16T00:00:00"/>
    <x v="30"/>
    <x v="1"/>
    <n v="141.57"/>
    <n v="29"/>
    <n v="4105.53"/>
    <x v="8"/>
    <x v="4"/>
    <x v="2"/>
    <x v="11"/>
  </r>
  <r>
    <d v="2021-03-18T00:00:00"/>
    <x v="31"/>
    <x v="24"/>
    <n v="162"/>
    <n v="8"/>
    <n v="1296"/>
    <x v="9"/>
    <x v="4"/>
    <x v="2"/>
    <x v="11"/>
  </r>
  <r>
    <d v="2021-03-18T00:00:00"/>
    <x v="24"/>
    <x v="14"/>
    <n v="210"/>
    <n v="2"/>
    <n v="420"/>
    <x v="2"/>
    <x v="4"/>
    <x v="2"/>
    <x v="11"/>
  </r>
  <r>
    <d v="2021-03-18T00:00:00"/>
    <x v="13"/>
    <x v="36"/>
    <n v="57.120000000000005"/>
    <n v="10"/>
    <n v="571.20000000000005"/>
    <x v="5"/>
    <x v="4"/>
    <x v="2"/>
    <x v="11"/>
  </r>
  <r>
    <d v="2021-03-19T00:00:00"/>
    <x v="15"/>
    <x v="39"/>
    <n v="42.55"/>
    <n v="18"/>
    <n v="765.9"/>
    <x v="4"/>
    <x v="4"/>
    <x v="2"/>
    <x v="11"/>
  </r>
  <r>
    <d v="2021-03-19T00:00:00"/>
    <x v="28"/>
    <x v="34"/>
    <n v="85.5"/>
    <n v="17"/>
    <n v="1453.5"/>
    <x v="11"/>
    <x v="4"/>
    <x v="2"/>
    <x v="11"/>
  </r>
  <r>
    <d v="2021-03-19T00:00:00"/>
    <x v="20"/>
    <x v="37"/>
    <n v="41.81"/>
    <n v="9"/>
    <n v="376.29"/>
    <x v="7"/>
    <x v="4"/>
    <x v="2"/>
    <x v="11"/>
  </r>
  <r>
    <d v="2021-03-19T00:00:00"/>
    <x v="25"/>
    <x v="34"/>
    <n v="85.5"/>
    <n v="17"/>
    <n v="1453.5"/>
    <x v="0"/>
    <x v="2"/>
    <x v="2"/>
    <x v="11"/>
  </r>
  <r>
    <d v="2021-03-19T00:00:00"/>
    <x v="14"/>
    <x v="20"/>
    <n v="142.80000000000001"/>
    <n v="15"/>
    <n v="2142"/>
    <x v="0"/>
    <x v="3"/>
    <x v="2"/>
    <x v="11"/>
  </r>
  <r>
    <d v="2021-03-19T00:00:00"/>
    <x v="27"/>
    <x v="38"/>
    <n v="173.88"/>
    <n v="6"/>
    <n v="1043.28"/>
    <x v="0"/>
    <x v="1"/>
    <x v="2"/>
    <x v="11"/>
  </r>
  <r>
    <d v="2021-03-20T00:00:00"/>
    <x v="33"/>
    <x v="0"/>
    <n v="156.96"/>
    <n v="23"/>
    <n v="3610.0800000000004"/>
    <x v="12"/>
    <x v="4"/>
    <x v="2"/>
    <x v="11"/>
  </r>
  <r>
    <d v="2021-03-20T00:00:00"/>
    <x v="4"/>
    <x v="2"/>
    <n v="79.92"/>
    <n v="21"/>
    <n v="1678.32"/>
    <x v="0"/>
    <x v="3"/>
    <x v="2"/>
    <x v="11"/>
  </r>
  <r>
    <d v="2021-03-20T00:00:00"/>
    <x v="5"/>
    <x v="25"/>
    <n v="16.64"/>
    <n v="13"/>
    <n v="216.32"/>
    <x v="0"/>
    <x v="2"/>
    <x v="2"/>
    <x v="11"/>
  </r>
  <r>
    <d v="2021-03-21T00:00:00"/>
    <x v="13"/>
    <x v="39"/>
    <n v="42.55"/>
    <n v="7"/>
    <n v="297.84999999999997"/>
    <x v="5"/>
    <x v="4"/>
    <x v="2"/>
    <x v="12"/>
  </r>
  <r>
    <d v="2021-03-21T00:00:00"/>
    <x v="32"/>
    <x v="31"/>
    <n v="103.88"/>
    <n v="18"/>
    <n v="1869.84"/>
    <x v="0"/>
    <x v="5"/>
    <x v="2"/>
    <x v="12"/>
  </r>
  <r>
    <d v="2021-03-21T00:00:00"/>
    <x v="5"/>
    <x v="29"/>
    <n v="76.25"/>
    <n v="13"/>
    <n v="991.25"/>
    <x v="0"/>
    <x v="2"/>
    <x v="2"/>
    <x v="12"/>
  </r>
  <r>
    <d v="2021-03-22T00:00:00"/>
    <x v="32"/>
    <x v="20"/>
    <n v="142.80000000000001"/>
    <n v="8"/>
    <n v="1142.4000000000001"/>
    <x v="0"/>
    <x v="5"/>
    <x v="2"/>
    <x v="12"/>
  </r>
  <r>
    <d v="2021-03-22T00:00:00"/>
    <x v="23"/>
    <x v="11"/>
    <n v="94.17"/>
    <n v="4"/>
    <n v="376.68"/>
    <x v="0"/>
    <x v="6"/>
    <x v="2"/>
    <x v="12"/>
  </r>
  <r>
    <d v="2021-03-22T00:00:00"/>
    <x v="26"/>
    <x v="36"/>
    <n v="57.120000000000005"/>
    <n v="30"/>
    <n v="1713.6000000000001"/>
    <x v="10"/>
    <x v="4"/>
    <x v="2"/>
    <x v="12"/>
  </r>
  <r>
    <d v="2021-03-23T00:00:00"/>
    <x v="27"/>
    <x v="13"/>
    <n v="117.48"/>
    <n v="9"/>
    <n v="1057.32"/>
    <x v="0"/>
    <x v="1"/>
    <x v="2"/>
    <x v="12"/>
  </r>
  <r>
    <d v="2021-03-25T00:00:00"/>
    <x v="3"/>
    <x v="10"/>
    <n v="53.11"/>
    <n v="8"/>
    <n v="424.88"/>
    <x v="0"/>
    <x v="3"/>
    <x v="2"/>
    <x v="12"/>
  </r>
  <r>
    <d v="2021-03-25T00:00:00"/>
    <x v="31"/>
    <x v="31"/>
    <n v="103.88"/>
    <n v="2"/>
    <n v="207.76"/>
    <x v="9"/>
    <x v="4"/>
    <x v="2"/>
    <x v="12"/>
  </r>
  <r>
    <d v="2021-03-25T00:00:00"/>
    <x v="31"/>
    <x v="33"/>
    <n v="156.78"/>
    <n v="26"/>
    <n v="4076.28"/>
    <x v="9"/>
    <x v="4"/>
    <x v="2"/>
    <x v="12"/>
  </r>
  <r>
    <d v="2021-03-25T00:00:00"/>
    <x v="13"/>
    <x v="32"/>
    <n v="201.28"/>
    <n v="11"/>
    <n v="2214.08"/>
    <x v="5"/>
    <x v="4"/>
    <x v="2"/>
    <x v="12"/>
  </r>
  <r>
    <d v="2021-03-25T00:00:00"/>
    <x v="23"/>
    <x v="0"/>
    <n v="156.96"/>
    <n v="14"/>
    <n v="2197.44"/>
    <x v="0"/>
    <x v="6"/>
    <x v="2"/>
    <x v="12"/>
  </r>
  <r>
    <d v="2021-03-25T00:00:00"/>
    <x v="28"/>
    <x v="34"/>
    <n v="85.5"/>
    <n v="4"/>
    <n v="342"/>
    <x v="11"/>
    <x v="4"/>
    <x v="2"/>
    <x v="12"/>
  </r>
  <r>
    <d v="2021-03-25T00:00:00"/>
    <x v="29"/>
    <x v="2"/>
    <n v="79.92"/>
    <n v="2"/>
    <n v="159.84"/>
    <x v="0"/>
    <x v="6"/>
    <x v="2"/>
    <x v="12"/>
  </r>
  <r>
    <d v="2021-03-26T00:00:00"/>
    <x v="15"/>
    <x v="5"/>
    <n v="164.28"/>
    <n v="9"/>
    <n v="1478.52"/>
    <x v="4"/>
    <x v="4"/>
    <x v="2"/>
    <x v="12"/>
  </r>
  <r>
    <d v="2021-03-26T00:00:00"/>
    <x v="0"/>
    <x v="31"/>
    <n v="103.88"/>
    <n v="4"/>
    <n v="415.52"/>
    <x v="0"/>
    <x v="0"/>
    <x v="2"/>
    <x v="12"/>
  </r>
  <r>
    <d v="2021-03-26T00:00:00"/>
    <x v="5"/>
    <x v="24"/>
    <n v="162"/>
    <n v="1"/>
    <n v="162"/>
    <x v="0"/>
    <x v="2"/>
    <x v="2"/>
    <x v="12"/>
  </r>
  <r>
    <d v="2021-03-26T00:00:00"/>
    <x v="30"/>
    <x v="3"/>
    <n v="119.7"/>
    <n v="25"/>
    <n v="2992.5"/>
    <x v="8"/>
    <x v="4"/>
    <x v="2"/>
    <x v="12"/>
  </r>
  <r>
    <d v="2021-03-27T00:00:00"/>
    <x v="19"/>
    <x v="32"/>
    <n v="201.28"/>
    <n v="3"/>
    <n v="603.84"/>
    <x v="4"/>
    <x v="4"/>
    <x v="2"/>
    <x v="12"/>
  </r>
  <r>
    <d v="2021-03-28T00:00:00"/>
    <x v="16"/>
    <x v="18"/>
    <n v="115.2"/>
    <n v="13"/>
    <n v="1497.6000000000001"/>
    <x v="6"/>
    <x v="4"/>
    <x v="2"/>
    <x v="13"/>
  </r>
  <r>
    <d v="2021-03-28T00:00:00"/>
    <x v="33"/>
    <x v="22"/>
    <n v="85.76"/>
    <n v="3"/>
    <n v="257.28000000000003"/>
    <x v="12"/>
    <x v="4"/>
    <x v="2"/>
    <x v="13"/>
  </r>
  <r>
    <d v="2021-03-28T00:00:00"/>
    <x v="14"/>
    <x v="15"/>
    <n v="47.730000000000004"/>
    <n v="8"/>
    <n v="381.84000000000003"/>
    <x v="0"/>
    <x v="3"/>
    <x v="2"/>
    <x v="13"/>
  </r>
  <r>
    <d v="2021-03-29T00:00:00"/>
    <x v="33"/>
    <x v="13"/>
    <n v="117.48"/>
    <n v="12"/>
    <n v="1409.76"/>
    <x v="12"/>
    <x v="4"/>
    <x v="2"/>
    <x v="13"/>
  </r>
  <r>
    <d v="2021-03-29T00:00:00"/>
    <x v="26"/>
    <x v="12"/>
    <n v="6.7"/>
    <n v="32"/>
    <n v="214.4"/>
    <x v="10"/>
    <x v="4"/>
    <x v="2"/>
    <x v="13"/>
  </r>
  <r>
    <d v="2021-03-30T00:00:00"/>
    <x v="31"/>
    <x v="2"/>
    <n v="79.92"/>
    <n v="1"/>
    <n v="79.92"/>
    <x v="9"/>
    <x v="4"/>
    <x v="2"/>
    <x v="13"/>
  </r>
  <r>
    <d v="2021-03-30T00:00:00"/>
    <x v="23"/>
    <x v="31"/>
    <n v="103.88"/>
    <n v="13"/>
    <n v="1350.44"/>
    <x v="0"/>
    <x v="6"/>
    <x v="2"/>
    <x v="13"/>
  </r>
  <r>
    <d v="2021-03-31T00:00:00"/>
    <x v="9"/>
    <x v="24"/>
    <n v="162"/>
    <n v="3"/>
    <n v="486"/>
    <x v="0"/>
    <x v="0"/>
    <x v="2"/>
    <x v="13"/>
  </r>
  <r>
    <d v="2021-03-31T00:00:00"/>
    <x v="30"/>
    <x v="35"/>
    <n v="155.61000000000001"/>
    <n v="33"/>
    <n v="5135.13"/>
    <x v="8"/>
    <x v="4"/>
    <x v="2"/>
    <x v="13"/>
  </r>
  <r>
    <d v="2021-04-01T00:00:00"/>
    <x v="24"/>
    <x v="23"/>
    <n v="48.4"/>
    <n v="3"/>
    <n v="145.19999999999999"/>
    <x v="2"/>
    <x v="4"/>
    <x v="3"/>
    <x v="13"/>
  </r>
  <r>
    <d v="2021-04-01T00:00:00"/>
    <x v="1"/>
    <x v="20"/>
    <n v="142.80000000000001"/>
    <n v="2"/>
    <n v="285.60000000000002"/>
    <x v="0"/>
    <x v="1"/>
    <x v="3"/>
    <x v="13"/>
  </r>
  <r>
    <d v="2021-04-02T00:00:00"/>
    <x v="33"/>
    <x v="22"/>
    <n v="85.76"/>
    <n v="24"/>
    <n v="2058.2400000000002"/>
    <x v="12"/>
    <x v="4"/>
    <x v="3"/>
    <x v="13"/>
  </r>
  <r>
    <d v="2021-04-02T00:00:00"/>
    <x v="32"/>
    <x v="20"/>
    <n v="142.80000000000001"/>
    <n v="3"/>
    <n v="428.40000000000003"/>
    <x v="0"/>
    <x v="5"/>
    <x v="3"/>
    <x v="13"/>
  </r>
  <r>
    <d v="2021-04-04T00:00:00"/>
    <x v="33"/>
    <x v="41"/>
    <n v="7.8599999999999994"/>
    <n v="9"/>
    <n v="70.739999999999995"/>
    <x v="12"/>
    <x v="4"/>
    <x v="3"/>
    <x v="14"/>
  </r>
  <r>
    <d v="2021-04-04T00:00:00"/>
    <x v="31"/>
    <x v="21"/>
    <n v="58.3"/>
    <n v="20"/>
    <n v="1166"/>
    <x v="9"/>
    <x v="4"/>
    <x v="3"/>
    <x v="14"/>
  </r>
  <r>
    <d v="2021-04-04T00:00:00"/>
    <x v="19"/>
    <x v="18"/>
    <n v="115.2"/>
    <n v="4"/>
    <n v="460.8"/>
    <x v="4"/>
    <x v="4"/>
    <x v="3"/>
    <x v="14"/>
  </r>
  <r>
    <d v="2021-04-05T00:00:00"/>
    <x v="0"/>
    <x v="31"/>
    <n v="103.88"/>
    <n v="34"/>
    <n v="3531.92"/>
    <x v="0"/>
    <x v="0"/>
    <x v="3"/>
    <x v="14"/>
  </r>
  <r>
    <d v="2021-04-05T00:00:00"/>
    <x v="20"/>
    <x v="16"/>
    <n v="104.16"/>
    <n v="15"/>
    <n v="1562.3999999999999"/>
    <x v="7"/>
    <x v="4"/>
    <x v="3"/>
    <x v="14"/>
  </r>
  <r>
    <d v="2021-04-05T00:00:00"/>
    <x v="19"/>
    <x v="26"/>
    <n v="94.62"/>
    <n v="29"/>
    <n v="2743.98"/>
    <x v="4"/>
    <x v="4"/>
    <x v="3"/>
    <x v="14"/>
  </r>
  <r>
    <d v="2021-04-06T00:00:00"/>
    <x v="0"/>
    <x v="30"/>
    <n v="162.54"/>
    <n v="39"/>
    <n v="6339.0599999999995"/>
    <x v="0"/>
    <x v="0"/>
    <x v="3"/>
    <x v="14"/>
  </r>
  <r>
    <d v="2021-04-06T00:00:00"/>
    <x v="22"/>
    <x v="18"/>
    <n v="115.2"/>
    <n v="2"/>
    <n v="230.4"/>
    <x v="9"/>
    <x v="4"/>
    <x v="3"/>
    <x v="14"/>
  </r>
  <r>
    <d v="2021-04-07T00:00:00"/>
    <x v="23"/>
    <x v="42"/>
    <n v="24.66"/>
    <n v="7"/>
    <n v="172.62"/>
    <x v="0"/>
    <x v="6"/>
    <x v="3"/>
    <x v="14"/>
  </r>
  <r>
    <d v="2021-04-09T00:00:00"/>
    <x v="24"/>
    <x v="20"/>
    <n v="142.80000000000001"/>
    <n v="9"/>
    <n v="1285.2"/>
    <x v="2"/>
    <x v="4"/>
    <x v="3"/>
    <x v="14"/>
  </r>
  <r>
    <d v="2021-04-09T00:00:00"/>
    <x v="22"/>
    <x v="35"/>
    <n v="155.61000000000001"/>
    <n v="3"/>
    <n v="466.83000000000004"/>
    <x v="9"/>
    <x v="4"/>
    <x v="3"/>
    <x v="14"/>
  </r>
  <r>
    <d v="2021-04-09T00:00:00"/>
    <x v="22"/>
    <x v="39"/>
    <n v="42.55"/>
    <n v="12"/>
    <n v="510.59999999999997"/>
    <x v="9"/>
    <x v="4"/>
    <x v="3"/>
    <x v="14"/>
  </r>
  <r>
    <d v="2021-04-09T00:00:00"/>
    <x v="34"/>
    <x v="33"/>
    <n v="156.78"/>
    <n v="8"/>
    <n v="1254.24"/>
    <x v="0"/>
    <x v="0"/>
    <x v="3"/>
    <x v="14"/>
  </r>
  <r>
    <d v="2021-04-10T00:00:00"/>
    <x v="0"/>
    <x v="1"/>
    <n v="141.57"/>
    <n v="14"/>
    <n v="1981.98"/>
    <x v="0"/>
    <x v="0"/>
    <x v="3"/>
    <x v="14"/>
  </r>
  <r>
    <d v="2021-04-10T00:00:00"/>
    <x v="32"/>
    <x v="38"/>
    <n v="173.88"/>
    <n v="17"/>
    <n v="2955.96"/>
    <x v="0"/>
    <x v="5"/>
    <x v="3"/>
    <x v="14"/>
  </r>
  <r>
    <d v="2021-04-10T00:00:00"/>
    <x v="10"/>
    <x v="22"/>
    <n v="85.76"/>
    <n v="36"/>
    <n v="3087.36"/>
    <x v="2"/>
    <x v="4"/>
    <x v="3"/>
    <x v="14"/>
  </r>
  <r>
    <d v="2021-04-11T00:00:00"/>
    <x v="35"/>
    <x v="41"/>
    <n v="7.8599999999999994"/>
    <n v="8"/>
    <n v="62.879999999999995"/>
    <x v="13"/>
    <x v="4"/>
    <x v="3"/>
    <x v="15"/>
  </r>
  <r>
    <d v="2021-04-12T00:00:00"/>
    <x v="31"/>
    <x v="36"/>
    <n v="57.120000000000005"/>
    <n v="9"/>
    <n v="514.08000000000004"/>
    <x v="9"/>
    <x v="4"/>
    <x v="3"/>
    <x v="15"/>
  </r>
  <r>
    <d v="2021-04-12T00:00:00"/>
    <x v="4"/>
    <x v="4"/>
    <n v="15.719999999999999"/>
    <n v="14"/>
    <n v="220.07999999999998"/>
    <x v="0"/>
    <x v="3"/>
    <x v="3"/>
    <x v="15"/>
  </r>
  <r>
    <d v="2021-04-12T00:00:00"/>
    <x v="24"/>
    <x v="22"/>
    <n v="85.76"/>
    <n v="3"/>
    <n v="257.28000000000003"/>
    <x v="2"/>
    <x v="4"/>
    <x v="3"/>
    <x v="15"/>
  </r>
  <r>
    <d v="2021-04-12T00:00:00"/>
    <x v="23"/>
    <x v="3"/>
    <n v="119.7"/>
    <n v="13"/>
    <n v="1556.1000000000001"/>
    <x v="0"/>
    <x v="6"/>
    <x v="3"/>
    <x v="15"/>
  </r>
  <r>
    <d v="2021-04-12T00:00:00"/>
    <x v="29"/>
    <x v="10"/>
    <n v="53.11"/>
    <n v="4"/>
    <n v="212.44"/>
    <x v="0"/>
    <x v="6"/>
    <x v="3"/>
    <x v="15"/>
  </r>
  <r>
    <d v="2021-04-13T00:00:00"/>
    <x v="3"/>
    <x v="9"/>
    <n v="48.84"/>
    <n v="8"/>
    <n v="390.72"/>
    <x v="0"/>
    <x v="3"/>
    <x v="3"/>
    <x v="15"/>
  </r>
  <r>
    <d v="2021-04-13T00:00:00"/>
    <x v="15"/>
    <x v="25"/>
    <n v="16.64"/>
    <n v="14"/>
    <n v="232.96"/>
    <x v="4"/>
    <x v="4"/>
    <x v="3"/>
    <x v="15"/>
  </r>
  <r>
    <d v="2021-04-13T00:00:00"/>
    <x v="21"/>
    <x v="43"/>
    <n v="96.3"/>
    <n v="35"/>
    <n v="3370.5"/>
    <x v="8"/>
    <x v="4"/>
    <x v="3"/>
    <x v="15"/>
  </r>
  <r>
    <d v="2021-04-14T00:00:00"/>
    <x v="20"/>
    <x v="22"/>
    <n v="85.76"/>
    <n v="7"/>
    <n v="600.32000000000005"/>
    <x v="7"/>
    <x v="4"/>
    <x v="3"/>
    <x v="15"/>
  </r>
  <r>
    <d v="2021-04-15T00:00:00"/>
    <x v="27"/>
    <x v="33"/>
    <n v="156.78"/>
    <n v="3"/>
    <n v="470.34000000000003"/>
    <x v="0"/>
    <x v="1"/>
    <x v="3"/>
    <x v="15"/>
  </r>
  <r>
    <d v="2021-04-16T00:00:00"/>
    <x v="5"/>
    <x v="25"/>
    <n v="16.64"/>
    <n v="38"/>
    <n v="632.32000000000005"/>
    <x v="0"/>
    <x v="2"/>
    <x v="3"/>
    <x v="15"/>
  </r>
  <r>
    <d v="2021-04-16T00:00:00"/>
    <x v="30"/>
    <x v="40"/>
    <n v="49.21"/>
    <n v="15"/>
    <n v="738.15"/>
    <x v="8"/>
    <x v="4"/>
    <x v="3"/>
    <x v="15"/>
  </r>
  <r>
    <d v="2021-04-17T00:00:00"/>
    <x v="17"/>
    <x v="41"/>
    <n v="7.8599999999999994"/>
    <n v="19"/>
    <n v="149.33999999999997"/>
    <x v="5"/>
    <x v="4"/>
    <x v="3"/>
    <x v="15"/>
  </r>
  <r>
    <d v="2021-04-18T00:00:00"/>
    <x v="0"/>
    <x v="38"/>
    <n v="173.88"/>
    <n v="9"/>
    <n v="1564.92"/>
    <x v="0"/>
    <x v="0"/>
    <x v="3"/>
    <x v="16"/>
  </r>
  <r>
    <d v="2021-04-18T00:00:00"/>
    <x v="28"/>
    <x v="14"/>
    <n v="210"/>
    <n v="13"/>
    <n v="2730"/>
    <x v="11"/>
    <x v="4"/>
    <x v="3"/>
    <x v="16"/>
  </r>
  <r>
    <d v="2021-04-18T00:00:00"/>
    <x v="35"/>
    <x v="23"/>
    <n v="48.4"/>
    <n v="2"/>
    <n v="96.8"/>
    <x v="13"/>
    <x v="4"/>
    <x v="3"/>
    <x v="16"/>
  </r>
  <r>
    <d v="2021-04-18T00:00:00"/>
    <x v="1"/>
    <x v="2"/>
    <n v="79.92"/>
    <n v="9"/>
    <n v="719.28"/>
    <x v="0"/>
    <x v="1"/>
    <x v="3"/>
    <x v="16"/>
  </r>
  <r>
    <d v="2021-04-19T00:00:00"/>
    <x v="35"/>
    <x v="23"/>
    <n v="48.4"/>
    <n v="17"/>
    <n v="822.8"/>
    <x v="13"/>
    <x v="4"/>
    <x v="3"/>
    <x v="16"/>
  </r>
  <r>
    <d v="2021-04-20T00:00:00"/>
    <x v="0"/>
    <x v="40"/>
    <n v="49.21"/>
    <n v="2"/>
    <n v="98.42"/>
    <x v="0"/>
    <x v="0"/>
    <x v="3"/>
    <x v="16"/>
  </r>
  <r>
    <d v="2021-04-20T00:00:00"/>
    <x v="9"/>
    <x v="11"/>
    <n v="94.17"/>
    <n v="4"/>
    <n v="376.68"/>
    <x v="0"/>
    <x v="0"/>
    <x v="3"/>
    <x v="16"/>
  </r>
  <r>
    <d v="2021-04-21T00:00:00"/>
    <x v="34"/>
    <x v="32"/>
    <n v="201.28"/>
    <n v="2"/>
    <n v="402.56"/>
    <x v="0"/>
    <x v="0"/>
    <x v="3"/>
    <x v="16"/>
  </r>
  <r>
    <d v="2021-04-21T00:00:00"/>
    <x v="25"/>
    <x v="42"/>
    <n v="24.66"/>
    <n v="14"/>
    <n v="345.24"/>
    <x v="0"/>
    <x v="2"/>
    <x v="3"/>
    <x v="16"/>
  </r>
  <r>
    <d v="2021-04-22T00:00:00"/>
    <x v="4"/>
    <x v="8"/>
    <n v="83.08"/>
    <n v="22"/>
    <n v="1827.76"/>
    <x v="0"/>
    <x v="3"/>
    <x v="3"/>
    <x v="16"/>
  </r>
  <r>
    <d v="2021-04-22T00:00:00"/>
    <x v="20"/>
    <x v="43"/>
    <n v="96.3"/>
    <n v="36"/>
    <n v="3466.7999999999997"/>
    <x v="7"/>
    <x v="4"/>
    <x v="3"/>
    <x v="16"/>
  </r>
  <r>
    <d v="2021-04-23T00:00:00"/>
    <x v="3"/>
    <x v="37"/>
    <n v="41.81"/>
    <n v="10"/>
    <n v="418.1"/>
    <x v="0"/>
    <x v="3"/>
    <x v="3"/>
    <x v="16"/>
  </r>
  <r>
    <d v="2021-04-23T00:00:00"/>
    <x v="20"/>
    <x v="28"/>
    <n v="82.08"/>
    <n v="15"/>
    <n v="1231.2"/>
    <x v="7"/>
    <x v="4"/>
    <x v="3"/>
    <x v="16"/>
  </r>
  <r>
    <d v="2021-04-23T00:00:00"/>
    <x v="1"/>
    <x v="24"/>
    <n v="162"/>
    <n v="6"/>
    <n v="972"/>
    <x v="0"/>
    <x v="1"/>
    <x v="3"/>
    <x v="16"/>
  </r>
  <r>
    <d v="2021-04-24T00:00:00"/>
    <x v="3"/>
    <x v="21"/>
    <n v="58.3"/>
    <n v="4"/>
    <n v="233.2"/>
    <x v="0"/>
    <x v="3"/>
    <x v="3"/>
    <x v="16"/>
  </r>
  <r>
    <d v="2021-04-24T00:00:00"/>
    <x v="21"/>
    <x v="2"/>
    <n v="79.92"/>
    <n v="1"/>
    <n v="79.92"/>
    <x v="8"/>
    <x v="4"/>
    <x v="3"/>
    <x v="16"/>
  </r>
  <r>
    <d v="2021-04-24T00:00:00"/>
    <x v="35"/>
    <x v="32"/>
    <n v="201.28"/>
    <n v="2"/>
    <n v="402.56"/>
    <x v="13"/>
    <x v="4"/>
    <x v="3"/>
    <x v="16"/>
  </r>
  <r>
    <d v="2021-04-24T00:00:00"/>
    <x v="1"/>
    <x v="30"/>
    <n v="162.54"/>
    <n v="39"/>
    <n v="6339.0599999999995"/>
    <x v="0"/>
    <x v="1"/>
    <x v="3"/>
    <x v="16"/>
  </r>
  <r>
    <d v="2021-04-25T00:00:00"/>
    <x v="3"/>
    <x v="19"/>
    <n v="80.94"/>
    <n v="8"/>
    <n v="647.52"/>
    <x v="0"/>
    <x v="3"/>
    <x v="3"/>
    <x v="17"/>
  </r>
  <r>
    <d v="2021-04-25T00:00:00"/>
    <x v="34"/>
    <x v="9"/>
    <n v="48.84"/>
    <n v="9"/>
    <n v="439.56000000000006"/>
    <x v="0"/>
    <x v="0"/>
    <x v="3"/>
    <x v="17"/>
  </r>
  <r>
    <d v="2021-04-26T00:00:00"/>
    <x v="23"/>
    <x v="22"/>
    <n v="85.76"/>
    <n v="3"/>
    <n v="257.28000000000003"/>
    <x v="0"/>
    <x v="6"/>
    <x v="3"/>
    <x v="17"/>
  </r>
  <r>
    <d v="2021-04-26T00:00:00"/>
    <x v="14"/>
    <x v="36"/>
    <n v="57.120000000000005"/>
    <n v="2"/>
    <n v="114.24000000000001"/>
    <x v="0"/>
    <x v="3"/>
    <x v="3"/>
    <x v="17"/>
  </r>
  <r>
    <d v="2021-04-28T00:00:00"/>
    <x v="33"/>
    <x v="7"/>
    <n v="146.72"/>
    <n v="14"/>
    <n v="2054.08"/>
    <x v="12"/>
    <x v="4"/>
    <x v="3"/>
    <x v="17"/>
  </r>
  <r>
    <d v="2021-04-28T00:00:00"/>
    <x v="30"/>
    <x v="29"/>
    <n v="76.25"/>
    <n v="30"/>
    <n v="2287.5"/>
    <x v="8"/>
    <x v="4"/>
    <x v="3"/>
    <x v="17"/>
  </r>
  <r>
    <d v="2021-04-29T00:00:00"/>
    <x v="32"/>
    <x v="30"/>
    <n v="162.54"/>
    <n v="13"/>
    <n v="2113.02"/>
    <x v="0"/>
    <x v="5"/>
    <x v="3"/>
    <x v="17"/>
  </r>
  <r>
    <d v="2021-04-29T00:00:00"/>
    <x v="1"/>
    <x v="32"/>
    <n v="201.28"/>
    <n v="7"/>
    <n v="1408.96"/>
    <x v="0"/>
    <x v="1"/>
    <x v="3"/>
    <x v="17"/>
  </r>
  <r>
    <d v="2021-04-30T00:00:00"/>
    <x v="5"/>
    <x v="25"/>
    <n v="16.64"/>
    <n v="13"/>
    <n v="216.32"/>
    <x v="0"/>
    <x v="2"/>
    <x v="3"/>
    <x v="17"/>
  </r>
  <r>
    <d v="2021-04-30T00:00:00"/>
    <x v="28"/>
    <x v="10"/>
    <n v="53.11"/>
    <n v="1"/>
    <n v="53.11"/>
    <x v="11"/>
    <x v="4"/>
    <x v="3"/>
    <x v="17"/>
  </r>
  <r>
    <d v="2021-04-30T00:00:00"/>
    <x v="20"/>
    <x v="36"/>
    <n v="57.120000000000005"/>
    <n v="8"/>
    <n v="456.96000000000004"/>
    <x v="7"/>
    <x v="4"/>
    <x v="3"/>
    <x v="17"/>
  </r>
  <r>
    <d v="2021-05-01T00:00:00"/>
    <x v="13"/>
    <x v="16"/>
    <n v="104.16"/>
    <n v="2"/>
    <n v="208.32"/>
    <x v="5"/>
    <x v="4"/>
    <x v="4"/>
    <x v="17"/>
  </r>
  <r>
    <d v="2021-05-01T00:00:00"/>
    <x v="32"/>
    <x v="21"/>
    <n v="58.3"/>
    <n v="9"/>
    <n v="524.69999999999993"/>
    <x v="0"/>
    <x v="5"/>
    <x v="4"/>
    <x v="17"/>
  </r>
  <r>
    <d v="2021-05-01T00:00:00"/>
    <x v="5"/>
    <x v="3"/>
    <n v="119.7"/>
    <n v="6"/>
    <n v="718.2"/>
    <x v="0"/>
    <x v="2"/>
    <x v="4"/>
    <x v="17"/>
  </r>
  <r>
    <d v="2021-05-01T00:00:00"/>
    <x v="29"/>
    <x v="24"/>
    <n v="162"/>
    <n v="1"/>
    <n v="162"/>
    <x v="0"/>
    <x v="6"/>
    <x v="4"/>
    <x v="17"/>
  </r>
  <r>
    <d v="2021-05-01T00:00:00"/>
    <x v="25"/>
    <x v="40"/>
    <n v="49.21"/>
    <n v="3"/>
    <n v="147.63"/>
    <x v="0"/>
    <x v="2"/>
    <x v="4"/>
    <x v="17"/>
  </r>
  <r>
    <d v="2021-05-02T00:00:00"/>
    <x v="23"/>
    <x v="6"/>
    <n v="122.08"/>
    <n v="4"/>
    <n v="488.32"/>
    <x v="0"/>
    <x v="6"/>
    <x v="4"/>
    <x v="18"/>
  </r>
  <r>
    <d v="2021-05-03T00:00:00"/>
    <x v="16"/>
    <x v="21"/>
    <n v="58.3"/>
    <n v="3"/>
    <n v="174.89999999999998"/>
    <x v="6"/>
    <x v="4"/>
    <x v="4"/>
    <x v="18"/>
  </r>
  <r>
    <d v="2021-05-03T00:00:00"/>
    <x v="27"/>
    <x v="6"/>
    <n v="122.08"/>
    <n v="13"/>
    <n v="1587.04"/>
    <x v="0"/>
    <x v="1"/>
    <x v="4"/>
    <x v="18"/>
  </r>
  <r>
    <d v="2021-05-04T00:00:00"/>
    <x v="32"/>
    <x v="7"/>
    <n v="146.72"/>
    <n v="4"/>
    <n v="586.88"/>
    <x v="0"/>
    <x v="5"/>
    <x v="4"/>
    <x v="18"/>
  </r>
  <r>
    <d v="2021-05-04T00:00:00"/>
    <x v="28"/>
    <x v="4"/>
    <n v="15.719999999999999"/>
    <n v="13"/>
    <n v="204.35999999999999"/>
    <x v="11"/>
    <x v="4"/>
    <x v="4"/>
    <x v="18"/>
  </r>
  <r>
    <d v="2021-05-04T00:00:00"/>
    <x v="27"/>
    <x v="29"/>
    <n v="76.25"/>
    <n v="10"/>
    <n v="762.5"/>
    <x v="0"/>
    <x v="1"/>
    <x v="4"/>
    <x v="18"/>
  </r>
  <r>
    <d v="2021-05-05T00:00:00"/>
    <x v="31"/>
    <x v="41"/>
    <n v="7.8599999999999994"/>
    <n v="13"/>
    <n v="102.17999999999999"/>
    <x v="9"/>
    <x v="4"/>
    <x v="4"/>
    <x v="18"/>
  </r>
  <r>
    <d v="2021-05-05T00:00:00"/>
    <x v="26"/>
    <x v="13"/>
    <n v="117.48"/>
    <n v="22"/>
    <n v="2584.56"/>
    <x v="10"/>
    <x v="4"/>
    <x v="4"/>
    <x v="18"/>
  </r>
  <r>
    <d v="2021-05-06T00:00:00"/>
    <x v="0"/>
    <x v="41"/>
    <n v="7.8599999999999994"/>
    <n v="6"/>
    <n v="47.16"/>
    <x v="0"/>
    <x v="0"/>
    <x v="4"/>
    <x v="18"/>
  </r>
  <r>
    <d v="2021-05-06T00:00:00"/>
    <x v="0"/>
    <x v="21"/>
    <n v="58.3"/>
    <n v="7"/>
    <n v="408.09999999999997"/>
    <x v="0"/>
    <x v="0"/>
    <x v="4"/>
    <x v="18"/>
  </r>
  <r>
    <d v="2021-05-06T00:00:00"/>
    <x v="14"/>
    <x v="26"/>
    <n v="94.62"/>
    <n v="15"/>
    <n v="1419.3000000000002"/>
    <x v="0"/>
    <x v="3"/>
    <x v="4"/>
    <x v="18"/>
  </r>
  <r>
    <d v="2021-05-07T00:00:00"/>
    <x v="16"/>
    <x v="4"/>
    <n v="15.719999999999999"/>
    <n v="4"/>
    <n v="62.879999999999995"/>
    <x v="6"/>
    <x v="4"/>
    <x v="4"/>
    <x v="18"/>
  </r>
  <r>
    <d v="2021-05-07T00:00:00"/>
    <x v="15"/>
    <x v="40"/>
    <n v="49.21"/>
    <n v="1"/>
    <n v="49.21"/>
    <x v="4"/>
    <x v="4"/>
    <x v="4"/>
    <x v="18"/>
  </r>
  <r>
    <d v="2021-05-07T00:00:00"/>
    <x v="32"/>
    <x v="36"/>
    <n v="57.120000000000005"/>
    <n v="1"/>
    <n v="57.120000000000005"/>
    <x v="0"/>
    <x v="5"/>
    <x v="4"/>
    <x v="18"/>
  </r>
  <r>
    <d v="2021-05-07T00:00:00"/>
    <x v="20"/>
    <x v="25"/>
    <n v="16.64"/>
    <n v="39"/>
    <n v="648.96"/>
    <x v="7"/>
    <x v="4"/>
    <x v="4"/>
    <x v="18"/>
  </r>
  <r>
    <d v="2021-05-07T00:00:00"/>
    <x v="29"/>
    <x v="36"/>
    <n v="57.120000000000005"/>
    <n v="29"/>
    <n v="1656.48"/>
    <x v="0"/>
    <x v="6"/>
    <x v="4"/>
    <x v="18"/>
  </r>
  <r>
    <d v="2021-05-08T00:00:00"/>
    <x v="0"/>
    <x v="23"/>
    <n v="48.4"/>
    <n v="19"/>
    <n v="919.6"/>
    <x v="0"/>
    <x v="0"/>
    <x v="4"/>
    <x v="18"/>
  </r>
  <r>
    <d v="2021-05-08T00:00:00"/>
    <x v="25"/>
    <x v="1"/>
    <n v="141.57"/>
    <n v="7"/>
    <n v="990.99"/>
    <x v="0"/>
    <x v="2"/>
    <x v="4"/>
    <x v="18"/>
  </r>
  <r>
    <d v="2021-05-09T00:00:00"/>
    <x v="16"/>
    <x v="37"/>
    <n v="41.81"/>
    <n v="8"/>
    <n v="334.48"/>
    <x v="6"/>
    <x v="4"/>
    <x v="4"/>
    <x v="19"/>
  </r>
  <r>
    <d v="2021-05-09T00:00:00"/>
    <x v="21"/>
    <x v="25"/>
    <n v="16.64"/>
    <n v="6"/>
    <n v="99.84"/>
    <x v="8"/>
    <x v="4"/>
    <x v="4"/>
    <x v="19"/>
  </r>
  <r>
    <d v="2021-05-09T00:00:00"/>
    <x v="32"/>
    <x v="33"/>
    <n v="156.78"/>
    <n v="12"/>
    <n v="1881.3600000000001"/>
    <x v="0"/>
    <x v="5"/>
    <x v="4"/>
    <x v="19"/>
  </r>
  <r>
    <d v="2021-05-09T00:00:00"/>
    <x v="34"/>
    <x v="0"/>
    <n v="156.96"/>
    <n v="37"/>
    <n v="5807.52"/>
    <x v="0"/>
    <x v="0"/>
    <x v="4"/>
    <x v="19"/>
  </r>
  <r>
    <d v="2021-05-09T00:00:00"/>
    <x v="1"/>
    <x v="37"/>
    <n v="41.81"/>
    <n v="4"/>
    <n v="167.24"/>
    <x v="0"/>
    <x v="1"/>
    <x v="4"/>
    <x v="19"/>
  </r>
  <r>
    <d v="2021-05-10T00:00:00"/>
    <x v="0"/>
    <x v="41"/>
    <n v="7.8599999999999994"/>
    <n v="6"/>
    <n v="47.16"/>
    <x v="0"/>
    <x v="0"/>
    <x v="4"/>
    <x v="19"/>
  </r>
  <r>
    <d v="2021-05-10T00:00:00"/>
    <x v="22"/>
    <x v="42"/>
    <n v="24.66"/>
    <n v="9"/>
    <n v="221.94"/>
    <x v="9"/>
    <x v="4"/>
    <x v="4"/>
    <x v="19"/>
  </r>
  <r>
    <d v="2021-05-12T00:00:00"/>
    <x v="33"/>
    <x v="43"/>
    <n v="96.3"/>
    <n v="3"/>
    <n v="288.89999999999998"/>
    <x v="12"/>
    <x v="4"/>
    <x v="4"/>
    <x v="19"/>
  </r>
  <r>
    <d v="2021-05-12T00:00:00"/>
    <x v="23"/>
    <x v="23"/>
    <n v="48.4"/>
    <n v="7"/>
    <n v="338.8"/>
    <x v="0"/>
    <x v="6"/>
    <x v="4"/>
    <x v="19"/>
  </r>
  <r>
    <d v="2021-05-12T00:00:00"/>
    <x v="26"/>
    <x v="5"/>
    <n v="164.28"/>
    <n v="30"/>
    <n v="4928.3999999999996"/>
    <x v="10"/>
    <x v="4"/>
    <x v="4"/>
    <x v="19"/>
  </r>
  <r>
    <d v="2021-05-12T00:00:00"/>
    <x v="14"/>
    <x v="25"/>
    <n v="16.64"/>
    <n v="3"/>
    <n v="49.92"/>
    <x v="0"/>
    <x v="3"/>
    <x v="4"/>
    <x v="19"/>
  </r>
  <r>
    <d v="2021-05-12T00:00:00"/>
    <x v="1"/>
    <x v="12"/>
    <n v="6.7"/>
    <n v="15"/>
    <n v="100.5"/>
    <x v="0"/>
    <x v="1"/>
    <x v="4"/>
    <x v="19"/>
  </r>
  <r>
    <d v="2021-05-13T00:00:00"/>
    <x v="21"/>
    <x v="10"/>
    <n v="53.11"/>
    <n v="4"/>
    <n v="212.44"/>
    <x v="8"/>
    <x v="4"/>
    <x v="4"/>
    <x v="19"/>
  </r>
  <r>
    <d v="2021-05-13T00:00:00"/>
    <x v="27"/>
    <x v="11"/>
    <n v="94.17"/>
    <n v="5"/>
    <n v="470.85"/>
    <x v="0"/>
    <x v="1"/>
    <x v="4"/>
    <x v="19"/>
  </r>
  <r>
    <d v="2021-05-14T00:00:00"/>
    <x v="4"/>
    <x v="18"/>
    <n v="115.2"/>
    <n v="20"/>
    <n v="2304"/>
    <x v="0"/>
    <x v="3"/>
    <x v="4"/>
    <x v="19"/>
  </r>
  <r>
    <d v="2021-05-14T00:00:00"/>
    <x v="17"/>
    <x v="26"/>
    <n v="94.62"/>
    <n v="14"/>
    <n v="1324.68"/>
    <x v="5"/>
    <x v="4"/>
    <x v="4"/>
    <x v="19"/>
  </r>
  <r>
    <d v="2021-05-15T00:00:00"/>
    <x v="15"/>
    <x v="6"/>
    <n v="122.08"/>
    <n v="6"/>
    <n v="732.48"/>
    <x v="4"/>
    <x v="4"/>
    <x v="4"/>
    <x v="19"/>
  </r>
  <r>
    <d v="2021-05-15T00:00:00"/>
    <x v="21"/>
    <x v="29"/>
    <n v="76.25"/>
    <n v="5"/>
    <n v="381.25"/>
    <x v="8"/>
    <x v="4"/>
    <x v="4"/>
    <x v="19"/>
  </r>
  <r>
    <d v="2021-05-16T00:00:00"/>
    <x v="13"/>
    <x v="5"/>
    <n v="164.28"/>
    <n v="13"/>
    <n v="2135.64"/>
    <x v="5"/>
    <x v="4"/>
    <x v="4"/>
    <x v="20"/>
  </r>
  <r>
    <d v="2021-05-16T00:00:00"/>
    <x v="27"/>
    <x v="16"/>
    <n v="104.16"/>
    <n v="13"/>
    <n v="1354.08"/>
    <x v="0"/>
    <x v="1"/>
    <x v="4"/>
    <x v="20"/>
  </r>
  <r>
    <d v="2021-05-17T00:00:00"/>
    <x v="29"/>
    <x v="13"/>
    <n v="117.48"/>
    <n v="34"/>
    <n v="3994.32"/>
    <x v="0"/>
    <x v="6"/>
    <x v="4"/>
    <x v="20"/>
  </r>
  <r>
    <d v="2021-05-17T00:00:00"/>
    <x v="30"/>
    <x v="36"/>
    <n v="57.120000000000005"/>
    <n v="8"/>
    <n v="456.96000000000004"/>
    <x v="8"/>
    <x v="4"/>
    <x v="4"/>
    <x v="20"/>
  </r>
  <r>
    <d v="2021-05-18T00:00:00"/>
    <x v="15"/>
    <x v="36"/>
    <n v="57.120000000000005"/>
    <n v="4"/>
    <n v="228.48000000000002"/>
    <x v="4"/>
    <x v="4"/>
    <x v="4"/>
    <x v="20"/>
  </r>
  <r>
    <d v="2021-05-18T00:00:00"/>
    <x v="21"/>
    <x v="2"/>
    <n v="79.92"/>
    <n v="8"/>
    <n v="639.36"/>
    <x v="8"/>
    <x v="4"/>
    <x v="4"/>
    <x v="20"/>
  </r>
  <r>
    <d v="2021-05-18T00:00:00"/>
    <x v="10"/>
    <x v="34"/>
    <n v="85.5"/>
    <n v="1"/>
    <n v="85.5"/>
    <x v="2"/>
    <x v="4"/>
    <x v="4"/>
    <x v="20"/>
  </r>
  <r>
    <d v="2021-05-19T00:00:00"/>
    <x v="9"/>
    <x v="39"/>
    <n v="42.55"/>
    <n v="9"/>
    <n v="382.95"/>
    <x v="0"/>
    <x v="0"/>
    <x v="4"/>
    <x v="20"/>
  </r>
  <r>
    <d v="2021-05-20T00:00:00"/>
    <x v="0"/>
    <x v="6"/>
    <n v="122.08"/>
    <n v="11"/>
    <n v="1342.8799999999999"/>
    <x v="0"/>
    <x v="0"/>
    <x v="4"/>
    <x v="20"/>
  </r>
  <r>
    <d v="2021-05-20T00:00:00"/>
    <x v="29"/>
    <x v="28"/>
    <n v="82.08"/>
    <n v="15"/>
    <n v="1231.2"/>
    <x v="0"/>
    <x v="6"/>
    <x v="4"/>
    <x v="20"/>
  </r>
  <r>
    <d v="2021-05-20T00:00:00"/>
    <x v="27"/>
    <x v="24"/>
    <n v="162"/>
    <n v="2"/>
    <n v="324"/>
    <x v="0"/>
    <x v="1"/>
    <x v="4"/>
    <x v="20"/>
  </r>
  <r>
    <d v="2021-05-21T00:00:00"/>
    <x v="0"/>
    <x v="2"/>
    <n v="79.92"/>
    <n v="21"/>
    <n v="1678.32"/>
    <x v="0"/>
    <x v="0"/>
    <x v="4"/>
    <x v="20"/>
  </r>
  <r>
    <d v="2021-05-21T00:00:00"/>
    <x v="18"/>
    <x v="12"/>
    <n v="6.7"/>
    <n v="16"/>
    <n v="107.2"/>
    <x v="0"/>
    <x v="5"/>
    <x v="4"/>
    <x v="20"/>
  </r>
  <r>
    <d v="2021-05-22T00:00:00"/>
    <x v="3"/>
    <x v="4"/>
    <n v="15.719999999999999"/>
    <n v="12"/>
    <n v="188.64"/>
    <x v="0"/>
    <x v="3"/>
    <x v="4"/>
    <x v="20"/>
  </r>
  <r>
    <d v="2021-05-22T00:00:00"/>
    <x v="13"/>
    <x v="1"/>
    <n v="141.57"/>
    <n v="24"/>
    <n v="3397.68"/>
    <x v="5"/>
    <x v="4"/>
    <x v="4"/>
    <x v="20"/>
  </r>
  <r>
    <d v="2021-05-22T00:00:00"/>
    <x v="18"/>
    <x v="34"/>
    <n v="85.5"/>
    <n v="19"/>
    <n v="1624.5"/>
    <x v="0"/>
    <x v="5"/>
    <x v="4"/>
    <x v="20"/>
  </r>
  <r>
    <d v="2021-05-23T00:00:00"/>
    <x v="9"/>
    <x v="18"/>
    <n v="115.2"/>
    <n v="11"/>
    <n v="1267.2"/>
    <x v="0"/>
    <x v="0"/>
    <x v="4"/>
    <x v="21"/>
  </r>
  <r>
    <d v="2021-05-23T00:00:00"/>
    <x v="35"/>
    <x v="25"/>
    <n v="16.64"/>
    <n v="27"/>
    <n v="449.28000000000003"/>
    <x v="13"/>
    <x v="4"/>
    <x v="4"/>
    <x v="21"/>
  </r>
  <r>
    <d v="2021-05-24T00:00:00"/>
    <x v="5"/>
    <x v="42"/>
    <n v="24.66"/>
    <n v="21"/>
    <n v="517.86"/>
    <x v="0"/>
    <x v="2"/>
    <x v="4"/>
    <x v="21"/>
  </r>
  <r>
    <d v="2021-05-25T00:00:00"/>
    <x v="10"/>
    <x v="20"/>
    <n v="142.80000000000001"/>
    <n v="7"/>
    <n v="999.60000000000014"/>
    <x v="2"/>
    <x v="4"/>
    <x v="4"/>
    <x v="21"/>
  </r>
  <r>
    <d v="2021-05-25T00:00:00"/>
    <x v="30"/>
    <x v="40"/>
    <n v="49.21"/>
    <n v="37"/>
    <n v="1820.77"/>
    <x v="8"/>
    <x v="4"/>
    <x v="4"/>
    <x v="21"/>
  </r>
  <r>
    <d v="2021-05-26T00:00:00"/>
    <x v="3"/>
    <x v="36"/>
    <n v="57.120000000000005"/>
    <n v="2"/>
    <n v="114.24000000000001"/>
    <x v="0"/>
    <x v="3"/>
    <x v="4"/>
    <x v="21"/>
  </r>
  <r>
    <d v="2021-05-26T00:00:00"/>
    <x v="4"/>
    <x v="37"/>
    <n v="41.81"/>
    <n v="2"/>
    <n v="83.62"/>
    <x v="0"/>
    <x v="3"/>
    <x v="4"/>
    <x v="21"/>
  </r>
  <r>
    <d v="2021-05-26T00:00:00"/>
    <x v="23"/>
    <x v="34"/>
    <n v="85.5"/>
    <n v="1"/>
    <n v="85.5"/>
    <x v="0"/>
    <x v="6"/>
    <x v="4"/>
    <x v="21"/>
  </r>
  <r>
    <d v="2021-05-28T00:00:00"/>
    <x v="3"/>
    <x v="29"/>
    <n v="76.25"/>
    <n v="14"/>
    <n v="1067.5"/>
    <x v="0"/>
    <x v="3"/>
    <x v="4"/>
    <x v="21"/>
  </r>
  <r>
    <d v="2021-05-28T00:00:00"/>
    <x v="24"/>
    <x v="10"/>
    <n v="53.11"/>
    <n v="4"/>
    <n v="212.44"/>
    <x v="2"/>
    <x v="4"/>
    <x v="4"/>
    <x v="21"/>
  </r>
  <r>
    <d v="2021-05-28T00:00:00"/>
    <x v="24"/>
    <x v="5"/>
    <n v="164.28"/>
    <n v="9"/>
    <n v="1478.52"/>
    <x v="2"/>
    <x v="4"/>
    <x v="4"/>
    <x v="21"/>
  </r>
  <r>
    <d v="2021-05-28T00:00:00"/>
    <x v="13"/>
    <x v="9"/>
    <n v="48.84"/>
    <n v="12"/>
    <n v="586.08000000000004"/>
    <x v="5"/>
    <x v="4"/>
    <x v="4"/>
    <x v="21"/>
  </r>
  <r>
    <d v="2021-05-28T00:00:00"/>
    <x v="27"/>
    <x v="26"/>
    <n v="94.62"/>
    <n v="5"/>
    <n v="473.1"/>
    <x v="0"/>
    <x v="1"/>
    <x v="4"/>
    <x v="21"/>
  </r>
  <r>
    <d v="2021-05-28T00:00:00"/>
    <x v="30"/>
    <x v="38"/>
    <n v="173.88"/>
    <n v="10"/>
    <n v="1738.8"/>
    <x v="8"/>
    <x v="4"/>
    <x v="4"/>
    <x v="21"/>
  </r>
  <r>
    <d v="2021-05-28T00:00:00"/>
    <x v="30"/>
    <x v="39"/>
    <n v="42.55"/>
    <n v="17"/>
    <n v="723.34999999999991"/>
    <x v="8"/>
    <x v="4"/>
    <x v="4"/>
    <x v="21"/>
  </r>
  <r>
    <d v="2021-05-30T00:00:00"/>
    <x v="15"/>
    <x v="35"/>
    <n v="155.61000000000001"/>
    <n v="4"/>
    <n v="622.44000000000005"/>
    <x v="4"/>
    <x v="4"/>
    <x v="4"/>
    <x v="22"/>
  </r>
  <r>
    <d v="2021-05-30T00:00:00"/>
    <x v="5"/>
    <x v="27"/>
    <n v="149.46"/>
    <n v="13"/>
    <n v="1942.98"/>
    <x v="0"/>
    <x v="2"/>
    <x v="4"/>
    <x v="22"/>
  </r>
  <r>
    <d v="2021-05-30T00:00:00"/>
    <x v="10"/>
    <x v="9"/>
    <n v="48.84"/>
    <n v="23"/>
    <n v="1123.3200000000002"/>
    <x v="2"/>
    <x v="4"/>
    <x v="4"/>
    <x v="22"/>
  </r>
  <r>
    <d v="2021-05-30T00:00:00"/>
    <x v="29"/>
    <x v="6"/>
    <n v="122.08"/>
    <n v="6"/>
    <n v="732.48"/>
    <x v="0"/>
    <x v="6"/>
    <x v="4"/>
    <x v="22"/>
  </r>
  <r>
    <d v="2021-05-30T00:00:00"/>
    <x v="27"/>
    <x v="28"/>
    <n v="82.08"/>
    <n v="9"/>
    <n v="738.72"/>
    <x v="0"/>
    <x v="1"/>
    <x v="4"/>
    <x v="22"/>
  </r>
  <r>
    <d v="2021-05-30T00:00:00"/>
    <x v="35"/>
    <x v="3"/>
    <n v="119.7"/>
    <n v="3"/>
    <n v="359.1"/>
    <x v="13"/>
    <x v="4"/>
    <x v="4"/>
    <x v="22"/>
  </r>
  <r>
    <d v="2021-06-02T00:00:00"/>
    <x v="4"/>
    <x v="36"/>
    <n v="57.120000000000005"/>
    <n v="15"/>
    <n v="856.80000000000007"/>
    <x v="0"/>
    <x v="3"/>
    <x v="5"/>
    <x v="22"/>
  </r>
  <r>
    <d v="2021-06-03T00:00:00"/>
    <x v="24"/>
    <x v="39"/>
    <n v="42.55"/>
    <n v="32"/>
    <n v="1361.6"/>
    <x v="2"/>
    <x v="4"/>
    <x v="5"/>
    <x v="22"/>
  </r>
  <r>
    <d v="2021-06-03T00:00:00"/>
    <x v="28"/>
    <x v="26"/>
    <n v="94.62"/>
    <n v="14"/>
    <n v="1324.68"/>
    <x v="11"/>
    <x v="4"/>
    <x v="5"/>
    <x v="22"/>
  </r>
  <r>
    <d v="2021-06-03T00:00:00"/>
    <x v="10"/>
    <x v="30"/>
    <n v="162.54"/>
    <n v="10"/>
    <n v="1625.3999999999999"/>
    <x v="2"/>
    <x v="4"/>
    <x v="5"/>
    <x v="22"/>
  </r>
  <r>
    <d v="2021-06-04T00:00:00"/>
    <x v="15"/>
    <x v="29"/>
    <n v="76.25"/>
    <n v="8"/>
    <n v="610"/>
    <x v="4"/>
    <x v="4"/>
    <x v="5"/>
    <x v="22"/>
  </r>
  <r>
    <d v="2021-06-04T00:00:00"/>
    <x v="21"/>
    <x v="29"/>
    <n v="76.25"/>
    <n v="12"/>
    <n v="915"/>
    <x v="8"/>
    <x v="4"/>
    <x v="5"/>
    <x v="22"/>
  </r>
  <r>
    <d v="2021-06-04T00:00:00"/>
    <x v="22"/>
    <x v="25"/>
    <n v="16.64"/>
    <n v="30"/>
    <n v="499.20000000000005"/>
    <x v="9"/>
    <x v="4"/>
    <x v="5"/>
    <x v="22"/>
  </r>
  <r>
    <d v="2021-06-05T00:00:00"/>
    <x v="24"/>
    <x v="1"/>
    <n v="141.57"/>
    <n v="15"/>
    <n v="2123.5499999999997"/>
    <x v="2"/>
    <x v="4"/>
    <x v="5"/>
    <x v="22"/>
  </r>
  <r>
    <d v="2021-06-05T00:00:00"/>
    <x v="24"/>
    <x v="11"/>
    <n v="94.17"/>
    <n v="5"/>
    <n v="470.85"/>
    <x v="2"/>
    <x v="4"/>
    <x v="5"/>
    <x v="22"/>
  </r>
  <r>
    <d v="2021-06-05T00:00:00"/>
    <x v="17"/>
    <x v="19"/>
    <n v="80.94"/>
    <n v="17"/>
    <n v="1375.98"/>
    <x v="5"/>
    <x v="4"/>
    <x v="5"/>
    <x v="22"/>
  </r>
  <r>
    <d v="2021-06-05T00:00:00"/>
    <x v="10"/>
    <x v="41"/>
    <n v="7.8599999999999994"/>
    <n v="32"/>
    <n v="251.51999999999998"/>
    <x v="2"/>
    <x v="4"/>
    <x v="5"/>
    <x v="22"/>
  </r>
  <r>
    <d v="2021-06-05T00:00:00"/>
    <x v="30"/>
    <x v="12"/>
    <n v="6.7"/>
    <n v="10"/>
    <n v="67"/>
    <x v="8"/>
    <x v="4"/>
    <x v="5"/>
    <x v="22"/>
  </r>
  <r>
    <d v="2021-06-06T00:00:00"/>
    <x v="22"/>
    <x v="3"/>
    <n v="119.7"/>
    <n v="6"/>
    <n v="718.2"/>
    <x v="9"/>
    <x v="4"/>
    <x v="5"/>
    <x v="23"/>
  </r>
  <r>
    <d v="2021-06-06T00:00:00"/>
    <x v="35"/>
    <x v="31"/>
    <n v="103.88"/>
    <n v="33"/>
    <n v="3428.04"/>
    <x v="13"/>
    <x v="4"/>
    <x v="5"/>
    <x v="23"/>
  </r>
  <r>
    <d v="2021-06-08T00:00:00"/>
    <x v="32"/>
    <x v="37"/>
    <n v="41.81"/>
    <n v="11"/>
    <n v="459.91"/>
    <x v="0"/>
    <x v="5"/>
    <x v="5"/>
    <x v="23"/>
  </r>
  <r>
    <d v="2021-06-08T00:00:00"/>
    <x v="34"/>
    <x v="9"/>
    <n v="48.84"/>
    <n v="11"/>
    <n v="537.24"/>
    <x v="0"/>
    <x v="0"/>
    <x v="5"/>
    <x v="23"/>
  </r>
  <r>
    <d v="2021-06-09T00:00:00"/>
    <x v="20"/>
    <x v="31"/>
    <n v="103.88"/>
    <n v="7"/>
    <n v="727.16"/>
    <x v="7"/>
    <x v="4"/>
    <x v="5"/>
    <x v="23"/>
  </r>
  <r>
    <d v="2021-06-09T00:00:00"/>
    <x v="27"/>
    <x v="18"/>
    <n v="115.2"/>
    <n v="32"/>
    <n v="3686.4"/>
    <x v="0"/>
    <x v="1"/>
    <x v="5"/>
    <x v="23"/>
  </r>
  <r>
    <d v="2021-06-10T00:00:00"/>
    <x v="33"/>
    <x v="37"/>
    <n v="41.81"/>
    <n v="8"/>
    <n v="334.48"/>
    <x v="12"/>
    <x v="4"/>
    <x v="5"/>
    <x v="23"/>
  </r>
  <r>
    <d v="2021-06-11T00:00:00"/>
    <x v="0"/>
    <x v="13"/>
    <n v="117.48"/>
    <n v="12"/>
    <n v="1409.76"/>
    <x v="0"/>
    <x v="0"/>
    <x v="5"/>
    <x v="23"/>
  </r>
  <r>
    <d v="2021-06-11T00:00:00"/>
    <x v="0"/>
    <x v="35"/>
    <n v="155.61000000000001"/>
    <n v="9"/>
    <n v="1400.4900000000002"/>
    <x v="0"/>
    <x v="0"/>
    <x v="5"/>
    <x v="23"/>
  </r>
  <r>
    <d v="2021-06-11T00:00:00"/>
    <x v="28"/>
    <x v="39"/>
    <n v="42.55"/>
    <n v="13"/>
    <n v="553.15"/>
    <x v="11"/>
    <x v="4"/>
    <x v="5"/>
    <x v="23"/>
  </r>
  <r>
    <d v="2021-06-11T00:00:00"/>
    <x v="14"/>
    <x v="30"/>
    <n v="162.54"/>
    <n v="6"/>
    <n v="975.24"/>
    <x v="0"/>
    <x v="3"/>
    <x v="5"/>
    <x v="23"/>
  </r>
  <r>
    <d v="2021-06-12T00:00:00"/>
    <x v="22"/>
    <x v="38"/>
    <n v="173.88"/>
    <n v="6"/>
    <n v="1043.28"/>
    <x v="9"/>
    <x v="4"/>
    <x v="5"/>
    <x v="23"/>
  </r>
  <r>
    <d v="2021-06-13T00:00:00"/>
    <x v="15"/>
    <x v="42"/>
    <n v="24.66"/>
    <n v="6"/>
    <n v="147.96"/>
    <x v="4"/>
    <x v="4"/>
    <x v="5"/>
    <x v="24"/>
  </r>
  <r>
    <d v="2021-06-13T00:00:00"/>
    <x v="36"/>
    <x v="4"/>
    <n v="15.719999999999999"/>
    <n v="3"/>
    <n v="47.16"/>
    <x v="0"/>
    <x v="1"/>
    <x v="5"/>
    <x v="24"/>
  </r>
  <r>
    <d v="2021-06-13T00:00:00"/>
    <x v="17"/>
    <x v="1"/>
    <n v="141.57"/>
    <n v="20"/>
    <n v="2831.3999999999996"/>
    <x v="5"/>
    <x v="4"/>
    <x v="5"/>
    <x v="24"/>
  </r>
  <r>
    <d v="2021-06-13T00:00:00"/>
    <x v="26"/>
    <x v="12"/>
    <n v="6.7"/>
    <n v="2"/>
    <n v="13.4"/>
    <x v="10"/>
    <x v="4"/>
    <x v="5"/>
    <x v="24"/>
  </r>
  <r>
    <d v="2021-06-14T00:00:00"/>
    <x v="15"/>
    <x v="17"/>
    <n v="8.33"/>
    <n v="10"/>
    <n v="83.3"/>
    <x v="4"/>
    <x v="4"/>
    <x v="5"/>
    <x v="24"/>
  </r>
  <r>
    <d v="2021-06-15T00:00:00"/>
    <x v="30"/>
    <x v="24"/>
    <n v="162"/>
    <n v="15"/>
    <n v="2430"/>
    <x v="8"/>
    <x v="4"/>
    <x v="5"/>
    <x v="24"/>
  </r>
  <r>
    <d v="2021-06-16T00:00:00"/>
    <x v="32"/>
    <x v="14"/>
    <n v="210"/>
    <n v="5"/>
    <n v="1050"/>
    <x v="0"/>
    <x v="5"/>
    <x v="5"/>
    <x v="24"/>
  </r>
  <r>
    <d v="2021-06-16T00:00:00"/>
    <x v="20"/>
    <x v="39"/>
    <n v="42.55"/>
    <n v="11"/>
    <n v="468.04999999999995"/>
    <x v="7"/>
    <x v="4"/>
    <x v="5"/>
    <x v="24"/>
  </r>
  <r>
    <d v="2021-06-16T00:00:00"/>
    <x v="29"/>
    <x v="4"/>
    <n v="15.719999999999999"/>
    <n v="12"/>
    <n v="188.64"/>
    <x v="0"/>
    <x v="6"/>
    <x v="5"/>
    <x v="24"/>
  </r>
  <r>
    <d v="2021-06-16T00:00:00"/>
    <x v="7"/>
    <x v="10"/>
    <n v="53.11"/>
    <n v="15"/>
    <n v="796.65"/>
    <x v="1"/>
    <x v="4"/>
    <x v="5"/>
    <x v="24"/>
  </r>
  <r>
    <d v="2021-06-16T00:00:00"/>
    <x v="30"/>
    <x v="31"/>
    <n v="103.88"/>
    <n v="26"/>
    <n v="2700.88"/>
    <x v="8"/>
    <x v="4"/>
    <x v="5"/>
    <x v="24"/>
  </r>
  <r>
    <d v="2021-06-17T00:00:00"/>
    <x v="32"/>
    <x v="25"/>
    <n v="16.64"/>
    <n v="38"/>
    <n v="632.32000000000005"/>
    <x v="0"/>
    <x v="5"/>
    <x v="5"/>
    <x v="24"/>
  </r>
  <r>
    <d v="2021-06-17T00:00:00"/>
    <x v="7"/>
    <x v="14"/>
    <n v="210"/>
    <n v="24"/>
    <n v="5040"/>
    <x v="1"/>
    <x v="4"/>
    <x v="5"/>
    <x v="24"/>
  </r>
  <r>
    <d v="2021-06-18T00:00:00"/>
    <x v="0"/>
    <x v="21"/>
    <n v="58.3"/>
    <n v="35"/>
    <n v="2040.5"/>
    <x v="0"/>
    <x v="0"/>
    <x v="5"/>
    <x v="24"/>
  </r>
  <r>
    <d v="2021-06-18T00:00:00"/>
    <x v="21"/>
    <x v="17"/>
    <n v="8.33"/>
    <n v="13"/>
    <n v="108.29"/>
    <x v="8"/>
    <x v="4"/>
    <x v="5"/>
    <x v="24"/>
  </r>
  <r>
    <d v="2021-06-18T00:00:00"/>
    <x v="10"/>
    <x v="6"/>
    <n v="122.08"/>
    <n v="5"/>
    <n v="610.4"/>
    <x v="2"/>
    <x v="4"/>
    <x v="5"/>
    <x v="24"/>
  </r>
  <r>
    <d v="2021-06-18T00:00:00"/>
    <x v="20"/>
    <x v="13"/>
    <n v="117.48"/>
    <n v="8"/>
    <n v="939.84"/>
    <x v="7"/>
    <x v="4"/>
    <x v="5"/>
    <x v="24"/>
  </r>
  <r>
    <d v="2021-06-19T00:00:00"/>
    <x v="13"/>
    <x v="28"/>
    <n v="82.08"/>
    <n v="11"/>
    <n v="902.88"/>
    <x v="5"/>
    <x v="4"/>
    <x v="5"/>
    <x v="24"/>
  </r>
  <r>
    <d v="2021-06-19T00:00:00"/>
    <x v="23"/>
    <x v="20"/>
    <n v="142.80000000000001"/>
    <n v="8"/>
    <n v="1142.4000000000001"/>
    <x v="0"/>
    <x v="6"/>
    <x v="5"/>
    <x v="24"/>
  </r>
  <r>
    <d v="2021-06-19T00:00:00"/>
    <x v="22"/>
    <x v="38"/>
    <n v="173.88"/>
    <n v="5"/>
    <n v="869.4"/>
    <x v="9"/>
    <x v="4"/>
    <x v="5"/>
    <x v="24"/>
  </r>
  <r>
    <d v="2021-06-20T00:00:00"/>
    <x v="15"/>
    <x v="25"/>
    <n v="16.64"/>
    <n v="1"/>
    <n v="16.64"/>
    <x v="4"/>
    <x v="4"/>
    <x v="5"/>
    <x v="25"/>
  </r>
  <r>
    <d v="2021-06-20T00:00:00"/>
    <x v="30"/>
    <x v="23"/>
    <n v="48.4"/>
    <n v="30"/>
    <n v="1452"/>
    <x v="8"/>
    <x v="4"/>
    <x v="5"/>
    <x v="25"/>
  </r>
  <r>
    <d v="2021-06-21T00:00:00"/>
    <x v="0"/>
    <x v="33"/>
    <n v="156.78"/>
    <n v="14"/>
    <n v="2194.92"/>
    <x v="0"/>
    <x v="0"/>
    <x v="5"/>
    <x v="25"/>
  </r>
  <r>
    <d v="2021-06-22T00:00:00"/>
    <x v="16"/>
    <x v="31"/>
    <n v="103.88"/>
    <n v="4"/>
    <n v="415.52"/>
    <x v="6"/>
    <x v="4"/>
    <x v="5"/>
    <x v="25"/>
  </r>
  <r>
    <d v="2021-06-22T00:00:00"/>
    <x v="24"/>
    <x v="18"/>
    <n v="115.2"/>
    <n v="10"/>
    <n v="1152"/>
    <x v="2"/>
    <x v="4"/>
    <x v="5"/>
    <x v="25"/>
  </r>
  <r>
    <d v="2021-06-23T00:00:00"/>
    <x v="28"/>
    <x v="25"/>
    <n v="16.64"/>
    <n v="4"/>
    <n v="66.56"/>
    <x v="11"/>
    <x v="4"/>
    <x v="5"/>
    <x v="25"/>
  </r>
  <r>
    <d v="2021-06-23T00:00:00"/>
    <x v="26"/>
    <x v="26"/>
    <n v="94.62"/>
    <n v="22"/>
    <n v="2081.6400000000003"/>
    <x v="10"/>
    <x v="4"/>
    <x v="5"/>
    <x v="25"/>
  </r>
  <r>
    <d v="2021-06-23T00:00:00"/>
    <x v="30"/>
    <x v="9"/>
    <n v="48.84"/>
    <n v="8"/>
    <n v="390.72"/>
    <x v="8"/>
    <x v="4"/>
    <x v="5"/>
    <x v="25"/>
  </r>
  <r>
    <d v="2021-06-24T00:00:00"/>
    <x v="21"/>
    <x v="18"/>
    <n v="115.2"/>
    <n v="10"/>
    <n v="1152"/>
    <x v="8"/>
    <x v="4"/>
    <x v="5"/>
    <x v="25"/>
  </r>
  <r>
    <d v="2021-06-24T00:00:00"/>
    <x v="32"/>
    <x v="23"/>
    <n v="48.4"/>
    <n v="13"/>
    <n v="629.19999999999993"/>
    <x v="0"/>
    <x v="5"/>
    <x v="5"/>
    <x v="25"/>
  </r>
  <r>
    <d v="2021-06-24T00:00:00"/>
    <x v="29"/>
    <x v="29"/>
    <n v="76.25"/>
    <n v="23"/>
    <n v="1753.75"/>
    <x v="0"/>
    <x v="6"/>
    <x v="5"/>
    <x v="25"/>
  </r>
  <r>
    <d v="2021-06-24T00:00:00"/>
    <x v="35"/>
    <x v="40"/>
    <n v="49.21"/>
    <n v="7"/>
    <n v="344.47"/>
    <x v="13"/>
    <x v="4"/>
    <x v="5"/>
    <x v="25"/>
  </r>
  <r>
    <d v="2021-06-25T00:00:00"/>
    <x v="32"/>
    <x v="11"/>
    <n v="94.17"/>
    <n v="7"/>
    <n v="659.19"/>
    <x v="0"/>
    <x v="5"/>
    <x v="5"/>
    <x v="25"/>
  </r>
  <r>
    <d v="2021-06-26T00:00:00"/>
    <x v="15"/>
    <x v="8"/>
    <n v="83.08"/>
    <n v="12"/>
    <n v="996.96"/>
    <x v="4"/>
    <x v="4"/>
    <x v="5"/>
    <x v="25"/>
  </r>
  <r>
    <d v="2021-06-26T00:00:00"/>
    <x v="14"/>
    <x v="41"/>
    <n v="7.8599999999999994"/>
    <n v="7"/>
    <n v="55.019999999999996"/>
    <x v="0"/>
    <x v="3"/>
    <x v="5"/>
    <x v="25"/>
  </r>
  <r>
    <d v="2021-06-26T00:00:00"/>
    <x v="30"/>
    <x v="21"/>
    <n v="58.3"/>
    <n v="4"/>
    <n v="233.2"/>
    <x v="8"/>
    <x v="4"/>
    <x v="5"/>
    <x v="25"/>
  </r>
  <r>
    <d v="2021-06-27T00:00:00"/>
    <x v="35"/>
    <x v="35"/>
    <n v="155.61000000000001"/>
    <n v="11"/>
    <n v="1711.71"/>
    <x v="13"/>
    <x v="4"/>
    <x v="5"/>
    <x v="26"/>
  </r>
  <r>
    <d v="2021-06-28T00:00:00"/>
    <x v="15"/>
    <x v="30"/>
    <n v="162.54"/>
    <n v="2"/>
    <n v="325.08"/>
    <x v="4"/>
    <x v="4"/>
    <x v="5"/>
    <x v="26"/>
  </r>
  <r>
    <d v="2021-06-28T00:00:00"/>
    <x v="18"/>
    <x v="12"/>
    <n v="6.7"/>
    <n v="7"/>
    <n v="46.9"/>
    <x v="0"/>
    <x v="5"/>
    <x v="5"/>
    <x v="26"/>
  </r>
  <r>
    <d v="2021-06-29T00:00:00"/>
    <x v="22"/>
    <x v="7"/>
    <n v="146.72"/>
    <n v="4"/>
    <n v="586.88"/>
    <x v="9"/>
    <x v="4"/>
    <x v="5"/>
    <x v="26"/>
  </r>
  <r>
    <d v="2021-06-30T00:00:00"/>
    <x v="23"/>
    <x v="8"/>
    <n v="83.08"/>
    <n v="8"/>
    <n v="664.64"/>
    <x v="0"/>
    <x v="6"/>
    <x v="5"/>
    <x v="26"/>
  </r>
  <r>
    <d v="2021-07-01T00:00:00"/>
    <x v="16"/>
    <x v="35"/>
    <n v="155.61000000000001"/>
    <n v="11"/>
    <n v="1711.71"/>
    <x v="6"/>
    <x v="4"/>
    <x v="6"/>
    <x v="26"/>
  </r>
  <r>
    <d v="2021-07-01T00:00:00"/>
    <x v="30"/>
    <x v="18"/>
    <n v="115.2"/>
    <n v="22"/>
    <n v="2534.4"/>
    <x v="8"/>
    <x v="4"/>
    <x v="6"/>
    <x v="26"/>
  </r>
  <r>
    <d v="2021-07-02T00:00:00"/>
    <x v="13"/>
    <x v="5"/>
    <n v="164.28"/>
    <n v="11"/>
    <n v="1807.08"/>
    <x v="5"/>
    <x v="4"/>
    <x v="6"/>
    <x v="26"/>
  </r>
  <r>
    <d v="2021-07-02T00:00:00"/>
    <x v="5"/>
    <x v="17"/>
    <n v="8.33"/>
    <n v="21"/>
    <n v="174.93"/>
    <x v="0"/>
    <x v="2"/>
    <x v="6"/>
    <x v="26"/>
  </r>
  <r>
    <d v="2021-07-02T00:00:00"/>
    <x v="29"/>
    <x v="36"/>
    <n v="57.120000000000005"/>
    <n v="2"/>
    <n v="114.24000000000001"/>
    <x v="0"/>
    <x v="6"/>
    <x v="6"/>
    <x v="26"/>
  </r>
  <r>
    <d v="2021-07-03T00:00:00"/>
    <x v="33"/>
    <x v="19"/>
    <n v="80.94"/>
    <n v="8"/>
    <n v="647.52"/>
    <x v="12"/>
    <x v="4"/>
    <x v="6"/>
    <x v="26"/>
  </r>
  <r>
    <d v="2021-07-03T00:00:00"/>
    <x v="28"/>
    <x v="3"/>
    <n v="119.7"/>
    <n v="15"/>
    <n v="1795.5"/>
    <x v="11"/>
    <x v="4"/>
    <x v="6"/>
    <x v="26"/>
  </r>
  <r>
    <d v="2021-07-03T00:00:00"/>
    <x v="20"/>
    <x v="3"/>
    <n v="119.7"/>
    <n v="9"/>
    <n v="1077.3"/>
    <x v="7"/>
    <x v="4"/>
    <x v="6"/>
    <x v="26"/>
  </r>
  <r>
    <d v="2021-07-04T00:00:00"/>
    <x v="29"/>
    <x v="15"/>
    <n v="47.730000000000004"/>
    <n v="7"/>
    <n v="334.11"/>
    <x v="0"/>
    <x v="6"/>
    <x v="6"/>
    <x v="27"/>
  </r>
  <r>
    <d v="2021-07-04T00:00:00"/>
    <x v="26"/>
    <x v="38"/>
    <n v="173.88"/>
    <n v="7"/>
    <n v="1217.1599999999999"/>
    <x v="10"/>
    <x v="4"/>
    <x v="6"/>
    <x v="27"/>
  </r>
  <r>
    <d v="2021-07-05T00:00:00"/>
    <x v="4"/>
    <x v="17"/>
    <n v="8.33"/>
    <n v="7"/>
    <n v="58.31"/>
    <x v="0"/>
    <x v="3"/>
    <x v="6"/>
    <x v="27"/>
  </r>
  <r>
    <d v="2021-07-05T00:00:00"/>
    <x v="22"/>
    <x v="4"/>
    <n v="15.719999999999999"/>
    <n v="8"/>
    <n v="125.75999999999999"/>
    <x v="9"/>
    <x v="4"/>
    <x v="6"/>
    <x v="27"/>
  </r>
  <r>
    <d v="2021-07-05T00:00:00"/>
    <x v="20"/>
    <x v="20"/>
    <n v="142.80000000000001"/>
    <n v="8"/>
    <n v="1142.4000000000001"/>
    <x v="7"/>
    <x v="4"/>
    <x v="6"/>
    <x v="27"/>
  </r>
  <r>
    <d v="2021-07-06T00:00:00"/>
    <x v="4"/>
    <x v="0"/>
    <n v="156.96"/>
    <n v="11"/>
    <n v="1726.5600000000002"/>
    <x v="0"/>
    <x v="3"/>
    <x v="6"/>
    <x v="27"/>
  </r>
  <r>
    <d v="2021-07-06T00:00:00"/>
    <x v="17"/>
    <x v="38"/>
    <n v="173.88"/>
    <n v="15"/>
    <n v="2608.1999999999998"/>
    <x v="5"/>
    <x v="4"/>
    <x v="6"/>
    <x v="27"/>
  </r>
  <r>
    <d v="2021-07-06T00:00:00"/>
    <x v="22"/>
    <x v="38"/>
    <n v="173.88"/>
    <n v="2"/>
    <n v="347.76"/>
    <x v="9"/>
    <x v="4"/>
    <x v="6"/>
    <x v="27"/>
  </r>
  <r>
    <d v="2021-07-08T00:00:00"/>
    <x v="29"/>
    <x v="40"/>
    <n v="49.21"/>
    <n v="2"/>
    <n v="98.42"/>
    <x v="0"/>
    <x v="6"/>
    <x v="6"/>
    <x v="27"/>
  </r>
  <r>
    <d v="2021-07-08T00:00:00"/>
    <x v="35"/>
    <x v="9"/>
    <n v="48.84"/>
    <n v="10"/>
    <n v="488.40000000000003"/>
    <x v="13"/>
    <x v="4"/>
    <x v="6"/>
    <x v="27"/>
  </r>
  <r>
    <d v="2021-07-09T00:00:00"/>
    <x v="17"/>
    <x v="34"/>
    <n v="85.5"/>
    <n v="11"/>
    <n v="940.5"/>
    <x v="5"/>
    <x v="4"/>
    <x v="6"/>
    <x v="27"/>
  </r>
  <r>
    <d v="2021-07-10T00:00:00"/>
    <x v="37"/>
    <x v="5"/>
    <n v="164.28"/>
    <n v="15"/>
    <n v="2464.1999999999998"/>
    <x v="14"/>
    <x v="4"/>
    <x v="6"/>
    <x v="27"/>
  </r>
  <r>
    <d v="2021-07-10T00:00:00"/>
    <x v="29"/>
    <x v="13"/>
    <n v="117.48"/>
    <n v="12"/>
    <n v="1409.76"/>
    <x v="0"/>
    <x v="6"/>
    <x v="6"/>
    <x v="27"/>
  </r>
  <r>
    <d v="2021-07-10T00:00:00"/>
    <x v="35"/>
    <x v="21"/>
    <n v="58.3"/>
    <n v="6"/>
    <n v="349.79999999999995"/>
    <x v="13"/>
    <x v="4"/>
    <x v="6"/>
    <x v="27"/>
  </r>
  <r>
    <d v="2021-07-11T00:00:00"/>
    <x v="30"/>
    <x v="41"/>
    <n v="7.8599999999999994"/>
    <n v="4"/>
    <n v="31.439999999999998"/>
    <x v="8"/>
    <x v="4"/>
    <x v="6"/>
    <x v="28"/>
  </r>
  <r>
    <d v="2021-07-12T00:00:00"/>
    <x v="15"/>
    <x v="37"/>
    <n v="41.81"/>
    <n v="12"/>
    <n v="501.72"/>
    <x v="4"/>
    <x v="4"/>
    <x v="6"/>
    <x v="28"/>
  </r>
  <r>
    <d v="2021-07-12T00:00:00"/>
    <x v="22"/>
    <x v="39"/>
    <n v="42.55"/>
    <n v="4"/>
    <n v="170.2"/>
    <x v="9"/>
    <x v="4"/>
    <x v="6"/>
    <x v="28"/>
  </r>
  <r>
    <d v="2021-07-13T00:00:00"/>
    <x v="16"/>
    <x v="14"/>
    <n v="210"/>
    <n v="1"/>
    <n v="210"/>
    <x v="6"/>
    <x v="4"/>
    <x v="6"/>
    <x v="28"/>
  </r>
  <r>
    <d v="2021-07-13T00:00:00"/>
    <x v="20"/>
    <x v="17"/>
    <n v="8.33"/>
    <n v="7"/>
    <n v="58.31"/>
    <x v="7"/>
    <x v="4"/>
    <x v="6"/>
    <x v="28"/>
  </r>
  <r>
    <d v="2021-07-13T00:00:00"/>
    <x v="1"/>
    <x v="1"/>
    <n v="141.57"/>
    <n v="5"/>
    <n v="707.84999999999991"/>
    <x v="0"/>
    <x v="1"/>
    <x v="6"/>
    <x v="28"/>
  </r>
  <r>
    <d v="2021-07-14T00:00:00"/>
    <x v="33"/>
    <x v="3"/>
    <n v="119.7"/>
    <n v="9"/>
    <n v="1077.3"/>
    <x v="12"/>
    <x v="4"/>
    <x v="6"/>
    <x v="28"/>
  </r>
  <r>
    <d v="2021-07-14T00:00:00"/>
    <x v="20"/>
    <x v="11"/>
    <n v="94.17"/>
    <n v="13"/>
    <n v="1224.21"/>
    <x v="7"/>
    <x v="4"/>
    <x v="6"/>
    <x v="28"/>
  </r>
  <r>
    <d v="2021-07-15T00:00:00"/>
    <x v="17"/>
    <x v="8"/>
    <n v="83.08"/>
    <n v="18"/>
    <n v="1495.44"/>
    <x v="5"/>
    <x v="4"/>
    <x v="6"/>
    <x v="28"/>
  </r>
  <r>
    <d v="2021-07-15T00:00:00"/>
    <x v="30"/>
    <x v="9"/>
    <n v="48.84"/>
    <n v="2"/>
    <n v="97.68"/>
    <x v="8"/>
    <x v="4"/>
    <x v="6"/>
    <x v="28"/>
  </r>
  <r>
    <d v="2021-07-16T00:00:00"/>
    <x v="15"/>
    <x v="13"/>
    <n v="117.48"/>
    <n v="33"/>
    <n v="3876.84"/>
    <x v="4"/>
    <x v="4"/>
    <x v="6"/>
    <x v="28"/>
  </r>
  <r>
    <d v="2021-07-16T00:00:00"/>
    <x v="36"/>
    <x v="27"/>
    <n v="149.46"/>
    <n v="8"/>
    <n v="1195.68"/>
    <x v="0"/>
    <x v="1"/>
    <x v="6"/>
    <x v="28"/>
  </r>
  <r>
    <d v="2021-07-16T00:00:00"/>
    <x v="21"/>
    <x v="16"/>
    <n v="104.16"/>
    <n v="35"/>
    <n v="3645.6"/>
    <x v="8"/>
    <x v="4"/>
    <x v="6"/>
    <x v="28"/>
  </r>
  <r>
    <d v="2021-07-17T00:00:00"/>
    <x v="24"/>
    <x v="31"/>
    <n v="103.88"/>
    <n v="38"/>
    <n v="3947.4399999999996"/>
    <x v="2"/>
    <x v="4"/>
    <x v="6"/>
    <x v="28"/>
  </r>
  <r>
    <d v="2021-07-17T00:00:00"/>
    <x v="17"/>
    <x v="1"/>
    <n v="141.57"/>
    <n v="18"/>
    <n v="2548.2599999999998"/>
    <x v="5"/>
    <x v="4"/>
    <x v="6"/>
    <x v="28"/>
  </r>
  <r>
    <d v="2021-07-17T00:00:00"/>
    <x v="34"/>
    <x v="27"/>
    <n v="149.46"/>
    <n v="30"/>
    <n v="4483.8"/>
    <x v="0"/>
    <x v="0"/>
    <x v="6"/>
    <x v="28"/>
  </r>
  <r>
    <d v="2021-07-17T00:00:00"/>
    <x v="25"/>
    <x v="38"/>
    <n v="173.88"/>
    <n v="8"/>
    <n v="1391.04"/>
    <x v="0"/>
    <x v="2"/>
    <x v="6"/>
    <x v="28"/>
  </r>
  <r>
    <d v="2021-07-18T00:00:00"/>
    <x v="10"/>
    <x v="36"/>
    <n v="57.120000000000005"/>
    <n v="14"/>
    <n v="799.68000000000006"/>
    <x v="2"/>
    <x v="4"/>
    <x v="6"/>
    <x v="29"/>
  </r>
  <r>
    <d v="2021-07-18T00:00:00"/>
    <x v="34"/>
    <x v="5"/>
    <n v="164.28"/>
    <n v="12"/>
    <n v="1971.3600000000001"/>
    <x v="0"/>
    <x v="0"/>
    <x v="6"/>
    <x v="29"/>
  </r>
  <r>
    <d v="2021-07-20T00:00:00"/>
    <x v="5"/>
    <x v="2"/>
    <n v="79.92"/>
    <n v="11"/>
    <n v="879.12"/>
    <x v="0"/>
    <x v="2"/>
    <x v="6"/>
    <x v="29"/>
  </r>
  <r>
    <d v="2021-07-20T00:00:00"/>
    <x v="18"/>
    <x v="24"/>
    <n v="162"/>
    <n v="8"/>
    <n v="1296"/>
    <x v="0"/>
    <x v="5"/>
    <x v="6"/>
    <x v="29"/>
  </r>
  <r>
    <d v="2021-07-20T00:00:00"/>
    <x v="1"/>
    <x v="8"/>
    <n v="83.08"/>
    <n v="5"/>
    <n v="415.4"/>
    <x v="0"/>
    <x v="1"/>
    <x v="6"/>
    <x v="29"/>
  </r>
  <r>
    <d v="2021-07-21T00:00:00"/>
    <x v="33"/>
    <x v="10"/>
    <n v="53.11"/>
    <n v="15"/>
    <n v="796.65"/>
    <x v="12"/>
    <x v="4"/>
    <x v="6"/>
    <x v="29"/>
  </r>
  <r>
    <d v="2021-07-22T00:00:00"/>
    <x v="12"/>
    <x v="37"/>
    <n v="41.81"/>
    <n v="5"/>
    <n v="209.05"/>
    <x v="4"/>
    <x v="4"/>
    <x v="6"/>
    <x v="29"/>
  </r>
  <r>
    <d v="2021-07-22T00:00:00"/>
    <x v="37"/>
    <x v="0"/>
    <n v="156.96"/>
    <n v="14"/>
    <n v="2197.44"/>
    <x v="14"/>
    <x v="4"/>
    <x v="6"/>
    <x v="29"/>
  </r>
  <r>
    <d v="2021-07-22T00:00:00"/>
    <x v="36"/>
    <x v="13"/>
    <n v="117.48"/>
    <n v="27"/>
    <n v="3171.96"/>
    <x v="0"/>
    <x v="1"/>
    <x v="6"/>
    <x v="29"/>
  </r>
  <r>
    <d v="2021-07-22T00:00:00"/>
    <x v="28"/>
    <x v="42"/>
    <n v="24.66"/>
    <n v="3"/>
    <n v="73.98"/>
    <x v="11"/>
    <x v="4"/>
    <x v="6"/>
    <x v="29"/>
  </r>
  <r>
    <d v="2021-07-22T00:00:00"/>
    <x v="9"/>
    <x v="21"/>
    <n v="58.3"/>
    <n v="6"/>
    <n v="349.79999999999995"/>
    <x v="0"/>
    <x v="0"/>
    <x v="6"/>
    <x v="29"/>
  </r>
  <r>
    <d v="2021-07-23T00:00:00"/>
    <x v="24"/>
    <x v="40"/>
    <n v="49.21"/>
    <n v="2"/>
    <n v="98.42"/>
    <x v="2"/>
    <x v="4"/>
    <x v="6"/>
    <x v="29"/>
  </r>
  <r>
    <d v="2021-07-23T00:00:00"/>
    <x v="32"/>
    <x v="8"/>
    <n v="83.08"/>
    <n v="9"/>
    <n v="747.72"/>
    <x v="0"/>
    <x v="5"/>
    <x v="6"/>
    <x v="29"/>
  </r>
  <r>
    <d v="2021-07-23T00:00:00"/>
    <x v="38"/>
    <x v="22"/>
    <n v="85.76"/>
    <n v="8"/>
    <n v="686.08"/>
    <x v="11"/>
    <x v="4"/>
    <x v="6"/>
    <x v="29"/>
  </r>
  <r>
    <d v="2021-07-23T00:00:00"/>
    <x v="25"/>
    <x v="43"/>
    <n v="96.3"/>
    <n v="7"/>
    <n v="674.1"/>
    <x v="0"/>
    <x v="2"/>
    <x v="6"/>
    <x v="29"/>
  </r>
  <r>
    <d v="2021-07-24T00:00:00"/>
    <x v="13"/>
    <x v="34"/>
    <n v="85.5"/>
    <n v="14"/>
    <n v="1197"/>
    <x v="5"/>
    <x v="4"/>
    <x v="6"/>
    <x v="29"/>
  </r>
  <r>
    <d v="2021-07-24T00:00:00"/>
    <x v="23"/>
    <x v="41"/>
    <n v="7.8599999999999994"/>
    <n v="4"/>
    <n v="31.439999999999998"/>
    <x v="0"/>
    <x v="6"/>
    <x v="6"/>
    <x v="29"/>
  </r>
  <r>
    <d v="2021-07-24T00:00:00"/>
    <x v="26"/>
    <x v="36"/>
    <n v="57.120000000000005"/>
    <n v="1"/>
    <n v="57.120000000000005"/>
    <x v="10"/>
    <x v="4"/>
    <x v="6"/>
    <x v="29"/>
  </r>
  <r>
    <d v="2021-07-25T00:00:00"/>
    <x v="38"/>
    <x v="19"/>
    <n v="80.94"/>
    <n v="13"/>
    <n v="1052.22"/>
    <x v="11"/>
    <x v="4"/>
    <x v="6"/>
    <x v="30"/>
  </r>
  <r>
    <d v="2021-07-25T00:00:00"/>
    <x v="34"/>
    <x v="28"/>
    <n v="82.08"/>
    <n v="2"/>
    <n v="164.16"/>
    <x v="0"/>
    <x v="0"/>
    <x v="6"/>
    <x v="30"/>
  </r>
  <r>
    <d v="2021-07-25T00:00:00"/>
    <x v="35"/>
    <x v="33"/>
    <n v="156.78"/>
    <n v="12"/>
    <n v="1881.3600000000001"/>
    <x v="13"/>
    <x v="4"/>
    <x v="6"/>
    <x v="30"/>
  </r>
  <r>
    <d v="2021-07-26T00:00:00"/>
    <x v="26"/>
    <x v="42"/>
    <n v="24.66"/>
    <n v="1"/>
    <n v="24.66"/>
    <x v="10"/>
    <x v="4"/>
    <x v="6"/>
    <x v="30"/>
  </r>
  <r>
    <d v="2021-07-26T00:00:00"/>
    <x v="7"/>
    <x v="19"/>
    <n v="80.94"/>
    <n v="10"/>
    <n v="809.4"/>
    <x v="1"/>
    <x v="4"/>
    <x v="6"/>
    <x v="30"/>
  </r>
  <r>
    <d v="2021-07-27T00:00:00"/>
    <x v="21"/>
    <x v="21"/>
    <n v="58.3"/>
    <n v="25"/>
    <n v="1457.5"/>
    <x v="8"/>
    <x v="4"/>
    <x v="6"/>
    <x v="30"/>
  </r>
  <r>
    <d v="2021-07-27T00:00:00"/>
    <x v="29"/>
    <x v="43"/>
    <n v="96.3"/>
    <n v="38"/>
    <n v="3659.4"/>
    <x v="0"/>
    <x v="6"/>
    <x v="6"/>
    <x v="30"/>
  </r>
  <r>
    <d v="2021-07-29T00:00:00"/>
    <x v="16"/>
    <x v="32"/>
    <n v="201.28"/>
    <n v="37"/>
    <n v="7447.36"/>
    <x v="6"/>
    <x v="4"/>
    <x v="6"/>
    <x v="30"/>
  </r>
  <r>
    <d v="2021-07-29T00:00:00"/>
    <x v="23"/>
    <x v="28"/>
    <n v="82.08"/>
    <n v="15"/>
    <n v="1231.2"/>
    <x v="0"/>
    <x v="6"/>
    <x v="6"/>
    <x v="30"/>
  </r>
  <r>
    <d v="2021-07-30T00:00:00"/>
    <x v="32"/>
    <x v="34"/>
    <n v="85.5"/>
    <n v="25"/>
    <n v="2137.5"/>
    <x v="0"/>
    <x v="5"/>
    <x v="6"/>
    <x v="30"/>
  </r>
  <r>
    <d v="2021-07-30T00:00:00"/>
    <x v="35"/>
    <x v="43"/>
    <n v="96.3"/>
    <n v="12"/>
    <n v="1155.5999999999999"/>
    <x v="13"/>
    <x v="4"/>
    <x v="6"/>
    <x v="30"/>
  </r>
  <r>
    <d v="2021-07-31T00:00:00"/>
    <x v="36"/>
    <x v="11"/>
    <n v="94.17"/>
    <n v="12"/>
    <n v="1130.04"/>
    <x v="0"/>
    <x v="1"/>
    <x v="6"/>
    <x v="30"/>
  </r>
  <r>
    <d v="2021-07-31T00:00:00"/>
    <x v="25"/>
    <x v="24"/>
    <n v="162"/>
    <n v="31"/>
    <n v="5022"/>
    <x v="0"/>
    <x v="2"/>
    <x v="6"/>
    <x v="30"/>
  </r>
  <r>
    <d v="2021-08-01T00:00:00"/>
    <x v="1"/>
    <x v="31"/>
    <n v="103.88"/>
    <n v="11"/>
    <n v="1142.6799999999998"/>
    <x v="0"/>
    <x v="1"/>
    <x v="7"/>
    <x v="31"/>
  </r>
  <r>
    <d v="2021-08-02T00:00:00"/>
    <x v="17"/>
    <x v="27"/>
    <n v="149.46"/>
    <n v="3"/>
    <n v="448.38"/>
    <x v="5"/>
    <x v="4"/>
    <x v="7"/>
    <x v="31"/>
  </r>
  <r>
    <d v="2021-08-03T00:00:00"/>
    <x v="24"/>
    <x v="21"/>
    <n v="58.3"/>
    <n v="12"/>
    <n v="699.59999999999991"/>
    <x v="2"/>
    <x v="4"/>
    <x v="7"/>
    <x v="31"/>
  </r>
  <r>
    <d v="2021-08-03T00:00:00"/>
    <x v="20"/>
    <x v="1"/>
    <n v="141.57"/>
    <n v="13"/>
    <n v="1840.4099999999999"/>
    <x v="7"/>
    <x v="4"/>
    <x v="7"/>
    <x v="31"/>
  </r>
  <r>
    <d v="2021-08-03T00:00:00"/>
    <x v="20"/>
    <x v="11"/>
    <n v="94.17"/>
    <n v="5"/>
    <n v="470.85"/>
    <x v="7"/>
    <x v="4"/>
    <x v="7"/>
    <x v="31"/>
  </r>
  <r>
    <d v="2021-08-03T00:00:00"/>
    <x v="7"/>
    <x v="7"/>
    <n v="146.72"/>
    <n v="8"/>
    <n v="1173.76"/>
    <x v="1"/>
    <x v="4"/>
    <x v="7"/>
    <x v="31"/>
  </r>
  <r>
    <d v="2021-08-04T00:00:00"/>
    <x v="33"/>
    <x v="42"/>
    <n v="24.66"/>
    <n v="16"/>
    <n v="394.56"/>
    <x v="12"/>
    <x v="4"/>
    <x v="7"/>
    <x v="31"/>
  </r>
  <r>
    <d v="2021-08-05T00:00:00"/>
    <x v="21"/>
    <x v="37"/>
    <n v="41.81"/>
    <n v="14"/>
    <n v="585.34"/>
    <x v="8"/>
    <x v="4"/>
    <x v="7"/>
    <x v="31"/>
  </r>
  <r>
    <d v="2021-08-06T00:00:00"/>
    <x v="4"/>
    <x v="22"/>
    <n v="85.76"/>
    <n v="1"/>
    <n v="85.76"/>
    <x v="0"/>
    <x v="3"/>
    <x v="7"/>
    <x v="31"/>
  </r>
  <r>
    <d v="2021-08-06T00:00:00"/>
    <x v="20"/>
    <x v="25"/>
    <n v="16.64"/>
    <n v="9"/>
    <n v="149.76"/>
    <x v="7"/>
    <x v="4"/>
    <x v="7"/>
    <x v="31"/>
  </r>
  <r>
    <d v="2021-08-08T00:00:00"/>
    <x v="31"/>
    <x v="30"/>
    <n v="162.54"/>
    <n v="11"/>
    <n v="1787.9399999999998"/>
    <x v="9"/>
    <x v="4"/>
    <x v="7"/>
    <x v="32"/>
  </r>
  <r>
    <d v="2021-08-08T00:00:00"/>
    <x v="32"/>
    <x v="13"/>
    <n v="117.48"/>
    <n v="12"/>
    <n v="1409.76"/>
    <x v="0"/>
    <x v="5"/>
    <x v="7"/>
    <x v="32"/>
  </r>
  <r>
    <d v="2021-08-08T00:00:00"/>
    <x v="28"/>
    <x v="4"/>
    <n v="15.719999999999999"/>
    <n v="38"/>
    <n v="597.3599999999999"/>
    <x v="11"/>
    <x v="4"/>
    <x v="7"/>
    <x v="32"/>
  </r>
  <r>
    <d v="2021-08-08T00:00:00"/>
    <x v="18"/>
    <x v="25"/>
    <n v="16.64"/>
    <n v="2"/>
    <n v="33.28"/>
    <x v="0"/>
    <x v="5"/>
    <x v="7"/>
    <x v="32"/>
  </r>
  <r>
    <d v="2021-08-10T00:00:00"/>
    <x v="12"/>
    <x v="2"/>
    <n v="79.92"/>
    <n v="38"/>
    <n v="3036.96"/>
    <x v="4"/>
    <x v="4"/>
    <x v="7"/>
    <x v="32"/>
  </r>
  <r>
    <d v="2021-08-10T00:00:00"/>
    <x v="26"/>
    <x v="35"/>
    <n v="155.61000000000001"/>
    <n v="4"/>
    <n v="622.44000000000005"/>
    <x v="10"/>
    <x v="4"/>
    <x v="7"/>
    <x v="32"/>
  </r>
  <r>
    <d v="2021-08-10T00:00:00"/>
    <x v="1"/>
    <x v="28"/>
    <n v="82.08"/>
    <n v="10"/>
    <n v="820.8"/>
    <x v="0"/>
    <x v="1"/>
    <x v="7"/>
    <x v="32"/>
  </r>
  <r>
    <d v="2021-08-10T00:00:00"/>
    <x v="30"/>
    <x v="34"/>
    <n v="85.5"/>
    <n v="6"/>
    <n v="513"/>
    <x v="8"/>
    <x v="4"/>
    <x v="7"/>
    <x v="32"/>
  </r>
  <r>
    <d v="2021-08-11T00:00:00"/>
    <x v="23"/>
    <x v="27"/>
    <n v="149.46"/>
    <n v="4"/>
    <n v="597.84"/>
    <x v="0"/>
    <x v="6"/>
    <x v="7"/>
    <x v="32"/>
  </r>
  <r>
    <d v="2021-08-11T00:00:00"/>
    <x v="22"/>
    <x v="32"/>
    <n v="201.28"/>
    <n v="20"/>
    <n v="4025.6"/>
    <x v="9"/>
    <x v="4"/>
    <x v="7"/>
    <x v="32"/>
  </r>
  <r>
    <d v="2021-08-13T00:00:00"/>
    <x v="23"/>
    <x v="23"/>
    <n v="48.4"/>
    <n v="13"/>
    <n v="629.19999999999993"/>
    <x v="0"/>
    <x v="6"/>
    <x v="7"/>
    <x v="32"/>
  </r>
  <r>
    <d v="2021-08-13T00:00:00"/>
    <x v="14"/>
    <x v="36"/>
    <n v="57.120000000000005"/>
    <n v="9"/>
    <n v="514.08000000000004"/>
    <x v="0"/>
    <x v="3"/>
    <x v="7"/>
    <x v="32"/>
  </r>
  <r>
    <d v="2021-08-14T00:00:00"/>
    <x v="33"/>
    <x v="32"/>
    <n v="201.28"/>
    <n v="14"/>
    <n v="2817.92"/>
    <x v="12"/>
    <x v="4"/>
    <x v="7"/>
    <x v="32"/>
  </r>
  <r>
    <d v="2021-08-15T00:00:00"/>
    <x v="23"/>
    <x v="4"/>
    <n v="15.719999999999999"/>
    <n v="7"/>
    <n v="110.03999999999999"/>
    <x v="0"/>
    <x v="6"/>
    <x v="7"/>
    <x v="33"/>
  </r>
  <r>
    <d v="2021-08-15T00:00:00"/>
    <x v="11"/>
    <x v="23"/>
    <n v="48.4"/>
    <n v="10"/>
    <n v="484"/>
    <x v="3"/>
    <x v="4"/>
    <x v="7"/>
    <x v="33"/>
  </r>
  <r>
    <d v="2021-08-16T00:00:00"/>
    <x v="13"/>
    <x v="41"/>
    <n v="7.8599999999999994"/>
    <n v="31"/>
    <n v="243.65999999999997"/>
    <x v="5"/>
    <x v="4"/>
    <x v="7"/>
    <x v="33"/>
  </r>
  <r>
    <d v="2021-08-16T00:00:00"/>
    <x v="10"/>
    <x v="19"/>
    <n v="80.94"/>
    <n v="3"/>
    <n v="242.82"/>
    <x v="2"/>
    <x v="4"/>
    <x v="7"/>
    <x v="33"/>
  </r>
  <r>
    <d v="2021-08-16T00:00:00"/>
    <x v="14"/>
    <x v="6"/>
    <n v="122.08"/>
    <n v="1"/>
    <n v="122.08"/>
    <x v="0"/>
    <x v="3"/>
    <x v="7"/>
    <x v="33"/>
  </r>
  <r>
    <d v="2021-08-18T00:00:00"/>
    <x v="21"/>
    <x v="17"/>
    <n v="8.33"/>
    <n v="6"/>
    <n v="49.980000000000004"/>
    <x v="8"/>
    <x v="4"/>
    <x v="7"/>
    <x v="33"/>
  </r>
  <r>
    <d v="2021-08-18T00:00:00"/>
    <x v="10"/>
    <x v="10"/>
    <n v="53.11"/>
    <n v="8"/>
    <n v="424.88"/>
    <x v="2"/>
    <x v="4"/>
    <x v="7"/>
    <x v="33"/>
  </r>
  <r>
    <d v="2021-08-18T00:00:00"/>
    <x v="34"/>
    <x v="10"/>
    <n v="53.11"/>
    <n v="19"/>
    <n v="1009.09"/>
    <x v="0"/>
    <x v="0"/>
    <x v="7"/>
    <x v="33"/>
  </r>
  <r>
    <d v="2021-08-18T00:00:00"/>
    <x v="11"/>
    <x v="5"/>
    <n v="164.28"/>
    <n v="2"/>
    <n v="328.56"/>
    <x v="3"/>
    <x v="4"/>
    <x v="7"/>
    <x v="33"/>
  </r>
  <r>
    <d v="2021-08-19T00:00:00"/>
    <x v="31"/>
    <x v="15"/>
    <n v="47.730000000000004"/>
    <n v="3"/>
    <n v="143.19"/>
    <x v="9"/>
    <x v="4"/>
    <x v="7"/>
    <x v="33"/>
  </r>
  <r>
    <d v="2021-08-20T00:00:00"/>
    <x v="33"/>
    <x v="3"/>
    <n v="119.7"/>
    <n v="14"/>
    <n v="1675.8"/>
    <x v="12"/>
    <x v="4"/>
    <x v="7"/>
    <x v="33"/>
  </r>
  <r>
    <d v="2021-08-20T00:00:00"/>
    <x v="31"/>
    <x v="29"/>
    <n v="76.25"/>
    <n v="15"/>
    <n v="1143.75"/>
    <x v="9"/>
    <x v="4"/>
    <x v="7"/>
    <x v="33"/>
  </r>
  <r>
    <d v="2021-08-20T00:00:00"/>
    <x v="21"/>
    <x v="27"/>
    <n v="149.46"/>
    <n v="13"/>
    <n v="1942.98"/>
    <x v="8"/>
    <x v="4"/>
    <x v="7"/>
    <x v="33"/>
  </r>
  <r>
    <d v="2021-08-20T00:00:00"/>
    <x v="28"/>
    <x v="40"/>
    <n v="49.21"/>
    <n v="19"/>
    <n v="934.99"/>
    <x v="11"/>
    <x v="4"/>
    <x v="7"/>
    <x v="33"/>
  </r>
  <r>
    <d v="2021-08-20T00:00:00"/>
    <x v="29"/>
    <x v="16"/>
    <n v="104.16"/>
    <n v="9"/>
    <n v="937.43999999999994"/>
    <x v="0"/>
    <x v="6"/>
    <x v="7"/>
    <x v="33"/>
  </r>
  <r>
    <d v="2021-08-20T00:00:00"/>
    <x v="34"/>
    <x v="37"/>
    <n v="41.81"/>
    <n v="13"/>
    <n v="543.53"/>
    <x v="0"/>
    <x v="0"/>
    <x v="7"/>
    <x v="33"/>
  </r>
  <r>
    <d v="2021-08-21T00:00:00"/>
    <x v="34"/>
    <x v="25"/>
    <n v="16.64"/>
    <n v="4"/>
    <n v="66.56"/>
    <x v="0"/>
    <x v="0"/>
    <x v="7"/>
    <x v="33"/>
  </r>
  <r>
    <d v="2021-08-22T00:00:00"/>
    <x v="29"/>
    <x v="35"/>
    <n v="155.61000000000001"/>
    <n v="19"/>
    <n v="2956.59"/>
    <x v="0"/>
    <x v="6"/>
    <x v="7"/>
    <x v="34"/>
  </r>
  <r>
    <d v="2021-08-23T00:00:00"/>
    <x v="15"/>
    <x v="28"/>
    <n v="82.08"/>
    <n v="11"/>
    <n v="902.88"/>
    <x v="4"/>
    <x v="4"/>
    <x v="7"/>
    <x v="34"/>
  </r>
  <r>
    <d v="2021-08-23T00:00:00"/>
    <x v="18"/>
    <x v="10"/>
    <n v="53.11"/>
    <n v="14"/>
    <n v="743.54"/>
    <x v="0"/>
    <x v="5"/>
    <x v="7"/>
    <x v="34"/>
  </r>
  <r>
    <d v="2021-08-24T00:00:00"/>
    <x v="18"/>
    <x v="35"/>
    <n v="155.61000000000001"/>
    <n v="5"/>
    <n v="778.05000000000007"/>
    <x v="0"/>
    <x v="5"/>
    <x v="7"/>
    <x v="34"/>
  </r>
  <r>
    <d v="2021-08-25T00:00:00"/>
    <x v="14"/>
    <x v="38"/>
    <n v="173.88"/>
    <n v="38"/>
    <n v="6607.44"/>
    <x v="0"/>
    <x v="3"/>
    <x v="7"/>
    <x v="34"/>
  </r>
  <r>
    <d v="2021-08-26T00:00:00"/>
    <x v="12"/>
    <x v="21"/>
    <n v="58.3"/>
    <n v="21"/>
    <n v="1224.3"/>
    <x v="4"/>
    <x v="4"/>
    <x v="7"/>
    <x v="34"/>
  </r>
  <r>
    <d v="2021-08-26T00:00:00"/>
    <x v="13"/>
    <x v="39"/>
    <n v="42.55"/>
    <n v="4"/>
    <n v="170.2"/>
    <x v="5"/>
    <x v="4"/>
    <x v="7"/>
    <x v="34"/>
  </r>
  <r>
    <d v="2021-08-26T00:00:00"/>
    <x v="32"/>
    <x v="30"/>
    <n v="162.54"/>
    <n v="18"/>
    <n v="2925.72"/>
    <x v="0"/>
    <x v="5"/>
    <x v="7"/>
    <x v="34"/>
  </r>
  <r>
    <d v="2021-08-26T00:00:00"/>
    <x v="18"/>
    <x v="22"/>
    <n v="85.76"/>
    <n v="8"/>
    <n v="686.08"/>
    <x v="0"/>
    <x v="5"/>
    <x v="7"/>
    <x v="34"/>
  </r>
  <r>
    <d v="2021-08-26T00:00:00"/>
    <x v="11"/>
    <x v="14"/>
    <n v="210"/>
    <n v="13"/>
    <n v="2730"/>
    <x v="3"/>
    <x v="4"/>
    <x v="7"/>
    <x v="34"/>
  </r>
  <r>
    <d v="2021-08-26T00:00:00"/>
    <x v="30"/>
    <x v="41"/>
    <n v="7.8599999999999994"/>
    <n v="38"/>
    <n v="298.67999999999995"/>
    <x v="8"/>
    <x v="4"/>
    <x v="7"/>
    <x v="34"/>
  </r>
  <r>
    <d v="2021-08-27T00:00:00"/>
    <x v="9"/>
    <x v="39"/>
    <n v="42.55"/>
    <n v="15"/>
    <n v="638.25"/>
    <x v="0"/>
    <x v="0"/>
    <x v="7"/>
    <x v="34"/>
  </r>
  <r>
    <d v="2021-08-28T00:00:00"/>
    <x v="33"/>
    <x v="5"/>
    <n v="164.28"/>
    <n v="20"/>
    <n v="3285.6"/>
    <x v="12"/>
    <x v="4"/>
    <x v="7"/>
    <x v="34"/>
  </r>
  <r>
    <d v="2021-08-28T00:00:00"/>
    <x v="12"/>
    <x v="35"/>
    <n v="155.61000000000001"/>
    <n v="9"/>
    <n v="1400.4900000000002"/>
    <x v="4"/>
    <x v="4"/>
    <x v="7"/>
    <x v="34"/>
  </r>
  <r>
    <d v="2021-08-28T00:00:00"/>
    <x v="13"/>
    <x v="39"/>
    <n v="42.55"/>
    <n v="5"/>
    <n v="212.75"/>
    <x v="5"/>
    <x v="4"/>
    <x v="7"/>
    <x v="34"/>
  </r>
  <r>
    <d v="2021-08-28T00:00:00"/>
    <x v="21"/>
    <x v="8"/>
    <n v="83.08"/>
    <n v="25"/>
    <n v="2077"/>
    <x v="8"/>
    <x v="4"/>
    <x v="7"/>
    <x v="34"/>
  </r>
  <r>
    <d v="2021-08-28T00:00:00"/>
    <x v="20"/>
    <x v="22"/>
    <n v="85.76"/>
    <n v="22"/>
    <n v="1886.72"/>
    <x v="7"/>
    <x v="4"/>
    <x v="7"/>
    <x v="34"/>
  </r>
  <r>
    <d v="2021-08-29T00:00:00"/>
    <x v="37"/>
    <x v="21"/>
    <n v="58.3"/>
    <n v="12"/>
    <n v="699.59999999999991"/>
    <x v="14"/>
    <x v="4"/>
    <x v="7"/>
    <x v="35"/>
  </r>
  <r>
    <d v="2021-08-30T00:00:00"/>
    <x v="31"/>
    <x v="34"/>
    <n v="85.5"/>
    <n v="6"/>
    <n v="513"/>
    <x v="9"/>
    <x v="4"/>
    <x v="7"/>
    <x v="35"/>
  </r>
  <r>
    <d v="2021-08-30T00:00:00"/>
    <x v="22"/>
    <x v="6"/>
    <n v="122.08"/>
    <n v="13"/>
    <n v="1587.04"/>
    <x v="9"/>
    <x v="4"/>
    <x v="7"/>
    <x v="35"/>
  </r>
  <r>
    <d v="2021-08-30T00:00:00"/>
    <x v="7"/>
    <x v="17"/>
    <n v="8.33"/>
    <n v="5"/>
    <n v="41.65"/>
    <x v="1"/>
    <x v="4"/>
    <x v="7"/>
    <x v="35"/>
  </r>
  <r>
    <d v="2021-08-30T00:00:00"/>
    <x v="30"/>
    <x v="8"/>
    <n v="83.08"/>
    <n v="6"/>
    <n v="498.48"/>
    <x v="8"/>
    <x v="4"/>
    <x v="7"/>
    <x v="35"/>
  </r>
  <r>
    <d v="2021-08-31T00:00:00"/>
    <x v="36"/>
    <x v="31"/>
    <n v="103.88"/>
    <n v="2"/>
    <n v="207.76"/>
    <x v="0"/>
    <x v="1"/>
    <x v="7"/>
    <x v="35"/>
  </r>
  <r>
    <d v="2021-08-31T00:00:00"/>
    <x v="36"/>
    <x v="4"/>
    <n v="15.719999999999999"/>
    <n v="13"/>
    <n v="204.35999999999999"/>
    <x v="0"/>
    <x v="1"/>
    <x v="7"/>
    <x v="35"/>
  </r>
  <r>
    <d v="2021-08-31T00:00:00"/>
    <x v="17"/>
    <x v="12"/>
    <n v="6.7"/>
    <n v="11"/>
    <n v="73.7"/>
    <x v="5"/>
    <x v="4"/>
    <x v="7"/>
    <x v="35"/>
  </r>
  <r>
    <d v="2021-08-31T00:00:00"/>
    <x v="14"/>
    <x v="30"/>
    <n v="162.54"/>
    <n v="6"/>
    <n v="975.24"/>
    <x v="0"/>
    <x v="3"/>
    <x v="7"/>
    <x v="35"/>
  </r>
  <r>
    <d v="2021-09-01T00:00:00"/>
    <x v="4"/>
    <x v="19"/>
    <n v="80.94"/>
    <n v="14"/>
    <n v="1133.1599999999999"/>
    <x v="0"/>
    <x v="3"/>
    <x v="8"/>
    <x v="35"/>
  </r>
  <r>
    <d v="2021-09-01T00:00:00"/>
    <x v="22"/>
    <x v="0"/>
    <n v="156.96"/>
    <n v="1"/>
    <n v="156.96"/>
    <x v="9"/>
    <x v="4"/>
    <x v="8"/>
    <x v="35"/>
  </r>
  <r>
    <d v="2021-09-01T00:00:00"/>
    <x v="11"/>
    <x v="4"/>
    <n v="15.719999999999999"/>
    <n v="11"/>
    <n v="172.92"/>
    <x v="3"/>
    <x v="4"/>
    <x v="8"/>
    <x v="35"/>
  </r>
  <r>
    <d v="2021-09-03T00:00:00"/>
    <x v="14"/>
    <x v="38"/>
    <n v="173.88"/>
    <n v="8"/>
    <n v="1391.04"/>
    <x v="0"/>
    <x v="3"/>
    <x v="8"/>
    <x v="35"/>
  </r>
  <r>
    <d v="2021-09-03T00:00:00"/>
    <x v="1"/>
    <x v="25"/>
    <n v="16.64"/>
    <n v="28"/>
    <n v="465.92"/>
    <x v="0"/>
    <x v="1"/>
    <x v="8"/>
    <x v="35"/>
  </r>
  <r>
    <d v="2021-09-04T00:00:00"/>
    <x v="18"/>
    <x v="12"/>
    <n v="6.7"/>
    <n v="1"/>
    <n v="6.7"/>
    <x v="0"/>
    <x v="5"/>
    <x v="8"/>
    <x v="35"/>
  </r>
  <r>
    <d v="2021-09-04T00:00:00"/>
    <x v="29"/>
    <x v="27"/>
    <n v="149.46"/>
    <n v="15"/>
    <n v="2241.9"/>
    <x v="0"/>
    <x v="6"/>
    <x v="8"/>
    <x v="35"/>
  </r>
  <r>
    <d v="2021-09-04T00:00:00"/>
    <x v="26"/>
    <x v="37"/>
    <n v="41.81"/>
    <n v="7"/>
    <n v="292.67"/>
    <x v="10"/>
    <x v="4"/>
    <x v="8"/>
    <x v="35"/>
  </r>
  <r>
    <d v="2021-09-04T00:00:00"/>
    <x v="26"/>
    <x v="31"/>
    <n v="103.88"/>
    <n v="34"/>
    <n v="3531.92"/>
    <x v="10"/>
    <x v="4"/>
    <x v="8"/>
    <x v="35"/>
  </r>
  <r>
    <d v="2021-09-04T00:00:00"/>
    <x v="26"/>
    <x v="20"/>
    <n v="142.80000000000001"/>
    <n v="1"/>
    <n v="142.80000000000001"/>
    <x v="10"/>
    <x v="4"/>
    <x v="8"/>
    <x v="35"/>
  </r>
  <r>
    <d v="2021-09-05T00:00:00"/>
    <x v="4"/>
    <x v="13"/>
    <n v="117.48"/>
    <n v="1"/>
    <n v="117.48"/>
    <x v="0"/>
    <x v="3"/>
    <x v="8"/>
    <x v="36"/>
  </r>
  <r>
    <d v="2021-09-05T00:00:00"/>
    <x v="39"/>
    <x v="15"/>
    <n v="47.730000000000004"/>
    <n v="35"/>
    <n v="1670.5500000000002"/>
    <x v="3"/>
    <x v="4"/>
    <x v="8"/>
    <x v="36"/>
  </r>
  <r>
    <d v="2021-09-06T00:00:00"/>
    <x v="28"/>
    <x v="16"/>
    <n v="104.16"/>
    <n v="20"/>
    <n v="2083.1999999999998"/>
    <x v="11"/>
    <x v="4"/>
    <x v="8"/>
    <x v="36"/>
  </r>
  <r>
    <d v="2021-09-06T00:00:00"/>
    <x v="9"/>
    <x v="35"/>
    <n v="155.61000000000001"/>
    <n v="12"/>
    <n v="1867.3200000000002"/>
    <x v="0"/>
    <x v="0"/>
    <x v="8"/>
    <x v="36"/>
  </r>
  <r>
    <d v="2021-09-07T00:00:00"/>
    <x v="16"/>
    <x v="14"/>
    <n v="210"/>
    <n v="5"/>
    <n v="1050"/>
    <x v="6"/>
    <x v="4"/>
    <x v="8"/>
    <x v="36"/>
  </r>
  <r>
    <d v="2021-09-08T00:00:00"/>
    <x v="29"/>
    <x v="11"/>
    <n v="94.17"/>
    <n v="23"/>
    <n v="2165.91"/>
    <x v="0"/>
    <x v="6"/>
    <x v="8"/>
    <x v="36"/>
  </r>
  <r>
    <d v="2021-09-09T00:00:00"/>
    <x v="18"/>
    <x v="19"/>
    <n v="80.94"/>
    <n v="3"/>
    <n v="242.82"/>
    <x v="0"/>
    <x v="5"/>
    <x v="8"/>
    <x v="36"/>
  </r>
  <r>
    <d v="2021-09-09T00:00:00"/>
    <x v="10"/>
    <x v="38"/>
    <n v="173.88"/>
    <n v="9"/>
    <n v="1564.92"/>
    <x v="2"/>
    <x v="4"/>
    <x v="8"/>
    <x v="36"/>
  </r>
  <r>
    <d v="2021-09-09T00:00:00"/>
    <x v="14"/>
    <x v="28"/>
    <n v="82.08"/>
    <n v="4"/>
    <n v="328.32"/>
    <x v="0"/>
    <x v="3"/>
    <x v="8"/>
    <x v="36"/>
  </r>
  <r>
    <d v="2021-09-09T00:00:00"/>
    <x v="1"/>
    <x v="23"/>
    <n v="48.4"/>
    <n v="26"/>
    <n v="1258.3999999999999"/>
    <x v="0"/>
    <x v="1"/>
    <x v="8"/>
    <x v="36"/>
  </r>
  <r>
    <d v="2021-09-10T00:00:00"/>
    <x v="15"/>
    <x v="2"/>
    <n v="79.92"/>
    <n v="4"/>
    <n v="319.68"/>
    <x v="4"/>
    <x v="4"/>
    <x v="8"/>
    <x v="36"/>
  </r>
  <r>
    <d v="2021-09-10T00:00:00"/>
    <x v="20"/>
    <x v="31"/>
    <n v="103.88"/>
    <n v="9"/>
    <n v="934.92"/>
    <x v="7"/>
    <x v="4"/>
    <x v="8"/>
    <x v="36"/>
  </r>
  <r>
    <d v="2021-09-10T00:00:00"/>
    <x v="34"/>
    <x v="32"/>
    <n v="201.28"/>
    <n v="6"/>
    <n v="1207.68"/>
    <x v="0"/>
    <x v="0"/>
    <x v="8"/>
    <x v="36"/>
  </r>
  <r>
    <d v="2021-09-10T00:00:00"/>
    <x v="34"/>
    <x v="42"/>
    <n v="24.66"/>
    <n v="2"/>
    <n v="49.32"/>
    <x v="0"/>
    <x v="0"/>
    <x v="8"/>
    <x v="36"/>
  </r>
  <r>
    <d v="2021-09-10T00:00:00"/>
    <x v="39"/>
    <x v="12"/>
    <n v="6.7"/>
    <n v="15"/>
    <n v="100.5"/>
    <x v="3"/>
    <x v="4"/>
    <x v="8"/>
    <x v="36"/>
  </r>
  <r>
    <d v="2021-09-11T00:00:00"/>
    <x v="36"/>
    <x v="31"/>
    <n v="103.88"/>
    <n v="6"/>
    <n v="623.28"/>
    <x v="0"/>
    <x v="1"/>
    <x v="8"/>
    <x v="36"/>
  </r>
  <r>
    <d v="2021-09-13T00:00:00"/>
    <x v="7"/>
    <x v="38"/>
    <n v="173.88"/>
    <n v="7"/>
    <n v="1217.1599999999999"/>
    <x v="1"/>
    <x v="4"/>
    <x v="8"/>
    <x v="37"/>
  </r>
  <r>
    <d v="2021-09-14T00:00:00"/>
    <x v="36"/>
    <x v="10"/>
    <n v="53.11"/>
    <n v="3"/>
    <n v="159.32999999999998"/>
    <x v="0"/>
    <x v="1"/>
    <x v="8"/>
    <x v="37"/>
  </r>
  <r>
    <d v="2021-09-14T00:00:00"/>
    <x v="29"/>
    <x v="42"/>
    <n v="24.66"/>
    <n v="34"/>
    <n v="838.44"/>
    <x v="0"/>
    <x v="6"/>
    <x v="8"/>
    <x v="37"/>
  </r>
  <r>
    <d v="2021-09-14T00:00:00"/>
    <x v="14"/>
    <x v="23"/>
    <n v="48.4"/>
    <n v="27"/>
    <n v="1306.8"/>
    <x v="0"/>
    <x v="3"/>
    <x v="8"/>
    <x v="37"/>
  </r>
  <r>
    <d v="2021-09-15T00:00:00"/>
    <x v="31"/>
    <x v="2"/>
    <n v="79.92"/>
    <n v="3"/>
    <n v="239.76"/>
    <x v="9"/>
    <x v="4"/>
    <x v="8"/>
    <x v="37"/>
  </r>
  <r>
    <d v="2021-09-15T00:00:00"/>
    <x v="24"/>
    <x v="24"/>
    <n v="162"/>
    <n v="14"/>
    <n v="2268"/>
    <x v="2"/>
    <x v="4"/>
    <x v="8"/>
    <x v="37"/>
  </r>
  <r>
    <d v="2021-09-15T00:00:00"/>
    <x v="36"/>
    <x v="24"/>
    <n v="162"/>
    <n v="6"/>
    <n v="972"/>
    <x v="0"/>
    <x v="1"/>
    <x v="8"/>
    <x v="37"/>
  </r>
  <r>
    <d v="2021-09-15T00:00:00"/>
    <x v="22"/>
    <x v="22"/>
    <n v="85.76"/>
    <n v="15"/>
    <n v="1286.4000000000001"/>
    <x v="9"/>
    <x v="4"/>
    <x v="8"/>
    <x v="37"/>
  </r>
  <r>
    <d v="2021-09-16T00:00:00"/>
    <x v="21"/>
    <x v="40"/>
    <n v="49.21"/>
    <n v="11"/>
    <n v="541.31000000000006"/>
    <x v="8"/>
    <x v="4"/>
    <x v="8"/>
    <x v="37"/>
  </r>
  <r>
    <d v="2021-09-17T00:00:00"/>
    <x v="21"/>
    <x v="5"/>
    <n v="164.28"/>
    <n v="12"/>
    <n v="1971.3600000000001"/>
    <x v="8"/>
    <x v="4"/>
    <x v="8"/>
    <x v="37"/>
  </r>
  <r>
    <d v="2021-09-18T00:00:00"/>
    <x v="13"/>
    <x v="16"/>
    <n v="104.16"/>
    <n v="22"/>
    <n v="2291.52"/>
    <x v="5"/>
    <x v="4"/>
    <x v="8"/>
    <x v="37"/>
  </r>
  <r>
    <d v="2021-09-18T00:00:00"/>
    <x v="29"/>
    <x v="42"/>
    <n v="24.66"/>
    <n v="14"/>
    <n v="345.24"/>
    <x v="0"/>
    <x v="6"/>
    <x v="8"/>
    <x v="37"/>
  </r>
  <r>
    <d v="2021-09-19T00:00:00"/>
    <x v="17"/>
    <x v="3"/>
    <n v="119.7"/>
    <n v="8"/>
    <n v="957.6"/>
    <x v="5"/>
    <x v="4"/>
    <x v="8"/>
    <x v="38"/>
  </r>
  <r>
    <d v="2021-09-20T00:00:00"/>
    <x v="33"/>
    <x v="3"/>
    <n v="119.7"/>
    <n v="6"/>
    <n v="718.2"/>
    <x v="12"/>
    <x v="4"/>
    <x v="8"/>
    <x v="38"/>
  </r>
  <r>
    <d v="2021-09-20T00:00:00"/>
    <x v="32"/>
    <x v="12"/>
    <n v="6.7"/>
    <n v="32"/>
    <n v="214.4"/>
    <x v="0"/>
    <x v="5"/>
    <x v="8"/>
    <x v="38"/>
  </r>
  <r>
    <d v="2021-09-20T00:00:00"/>
    <x v="14"/>
    <x v="31"/>
    <n v="103.88"/>
    <n v="10"/>
    <n v="1038.8"/>
    <x v="0"/>
    <x v="3"/>
    <x v="8"/>
    <x v="38"/>
  </r>
  <r>
    <d v="2021-09-21T00:00:00"/>
    <x v="13"/>
    <x v="43"/>
    <n v="96.3"/>
    <n v="35"/>
    <n v="3370.5"/>
    <x v="5"/>
    <x v="4"/>
    <x v="8"/>
    <x v="38"/>
  </r>
  <r>
    <d v="2021-09-21T00:00:00"/>
    <x v="23"/>
    <x v="20"/>
    <n v="142.80000000000001"/>
    <n v="32"/>
    <n v="4569.6000000000004"/>
    <x v="0"/>
    <x v="6"/>
    <x v="8"/>
    <x v="38"/>
  </r>
  <r>
    <d v="2021-09-21T00:00:00"/>
    <x v="18"/>
    <x v="29"/>
    <n v="76.25"/>
    <n v="7"/>
    <n v="533.75"/>
    <x v="0"/>
    <x v="5"/>
    <x v="8"/>
    <x v="38"/>
  </r>
  <r>
    <d v="2021-09-21T00:00:00"/>
    <x v="20"/>
    <x v="42"/>
    <n v="24.66"/>
    <n v="5"/>
    <n v="123.3"/>
    <x v="7"/>
    <x v="4"/>
    <x v="8"/>
    <x v="38"/>
  </r>
  <r>
    <d v="2021-09-21T00:00:00"/>
    <x v="1"/>
    <x v="40"/>
    <n v="49.21"/>
    <n v="14"/>
    <n v="688.94"/>
    <x v="0"/>
    <x v="1"/>
    <x v="8"/>
    <x v="38"/>
  </r>
  <r>
    <d v="2021-09-22T00:00:00"/>
    <x v="4"/>
    <x v="30"/>
    <n v="162.54"/>
    <n v="21"/>
    <n v="3413.3399999999997"/>
    <x v="0"/>
    <x v="3"/>
    <x v="8"/>
    <x v="38"/>
  </r>
  <r>
    <d v="2021-09-22T00:00:00"/>
    <x v="10"/>
    <x v="9"/>
    <n v="48.84"/>
    <n v="14"/>
    <n v="683.76"/>
    <x v="2"/>
    <x v="4"/>
    <x v="8"/>
    <x v="38"/>
  </r>
  <r>
    <d v="2021-09-22T00:00:00"/>
    <x v="11"/>
    <x v="20"/>
    <n v="142.80000000000001"/>
    <n v="4"/>
    <n v="571.20000000000005"/>
    <x v="3"/>
    <x v="4"/>
    <x v="8"/>
    <x v="38"/>
  </r>
  <r>
    <d v="2021-09-22T00:00:00"/>
    <x v="39"/>
    <x v="18"/>
    <n v="115.2"/>
    <n v="2"/>
    <n v="230.4"/>
    <x v="3"/>
    <x v="4"/>
    <x v="8"/>
    <x v="38"/>
  </r>
  <r>
    <d v="2021-09-22T00:00:00"/>
    <x v="39"/>
    <x v="8"/>
    <n v="83.08"/>
    <n v="12"/>
    <n v="996.96"/>
    <x v="3"/>
    <x v="4"/>
    <x v="8"/>
    <x v="38"/>
  </r>
  <r>
    <d v="2021-09-23T00:00:00"/>
    <x v="32"/>
    <x v="11"/>
    <n v="94.17"/>
    <n v="12"/>
    <n v="1130.04"/>
    <x v="0"/>
    <x v="5"/>
    <x v="8"/>
    <x v="38"/>
  </r>
  <r>
    <d v="2021-09-23T00:00:00"/>
    <x v="34"/>
    <x v="30"/>
    <n v="162.54"/>
    <n v="7"/>
    <n v="1137.78"/>
    <x v="0"/>
    <x v="0"/>
    <x v="8"/>
    <x v="38"/>
  </r>
  <r>
    <d v="2021-09-23T00:00:00"/>
    <x v="14"/>
    <x v="40"/>
    <n v="49.21"/>
    <n v="12"/>
    <n v="590.52"/>
    <x v="0"/>
    <x v="3"/>
    <x v="8"/>
    <x v="38"/>
  </r>
  <r>
    <d v="2021-09-24T00:00:00"/>
    <x v="15"/>
    <x v="13"/>
    <n v="117.48"/>
    <n v="34"/>
    <n v="3994.32"/>
    <x v="4"/>
    <x v="4"/>
    <x v="8"/>
    <x v="38"/>
  </r>
  <r>
    <d v="2021-09-24T00:00:00"/>
    <x v="36"/>
    <x v="13"/>
    <n v="117.48"/>
    <n v="8"/>
    <n v="939.84"/>
    <x v="0"/>
    <x v="1"/>
    <x v="8"/>
    <x v="38"/>
  </r>
  <r>
    <d v="2021-09-24T00:00:00"/>
    <x v="23"/>
    <x v="13"/>
    <n v="117.48"/>
    <n v="14"/>
    <n v="1644.72"/>
    <x v="0"/>
    <x v="6"/>
    <x v="8"/>
    <x v="38"/>
  </r>
  <r>
    <d v="2021-09-25T00:00:00"/>
    <x v="32"/>
    <x v="19"/>
    <n v="80.94"/>
    <n v="31"/>
    <n v="2509.14"/>
    <x v="0"/>
    <x v="5"/>
    <x v="8"/>
    <x v="38"/>
  </r>
  <r>
    <d v="2021-09-27T00:00:00"/>
    <x v="31"/>
    <x v="21"/>
    <n v="58.3"/>
    <n v="1"/>
    <n v="58.3"/>
    <x v="9"/>
    <x v="4"/>
    <x v="8"/>
    <x v="39"/>
  </r>
  <r>
    <d v="2021-09-27T00:00:00"/>
    <x v="4"/>
    <x v="35"/>
    <n v="155.61000000000001"/>
    <n v="11"/>
    <n v="1711.71"/>
    <x v="0"/>
    <x v="3"/>
    <x v="8"/>
    <x v="39"/>
  </r>
  <r>
    <d v="2021-09-27T00:00:00"/>
    <x v="22"/>
    <x v="43"/>
    <n v="96.3"/>
    <n v="4"/>
    <n v="385.2"/>
    <x v="9"/>
    <x v="4"/>
    <x v="8"/>
    <x v="39"/>
  </r>
  <r>
    <d v="2021-09-27T00:00:00"/>
    <x v="9"/>
    <x v="2"/>
    <n v="79.92"/>
    <n v="3"/>
    <n v="239.76"/>
    <x v="0"/>
    <x v="0"/>
    <x v="8"/>
    <x v="39"/>
  </r>
  <r>
    <d v="2021-09-27T00:00:00"/>
    <x v="34"/>
    <x v="38"/>
    <n v="173.88"/>
    <n v="23"/>
    <n v="3999.24"/>
    <x v="0"/>
    <x v="0"/>
    <x v="8"/>
    <x v="39"/>
  </r>
  <r>
    <d v="2021-09-27T00:00:00"/>
    <x v="39"/>
    <x v="28"/>
    <n v="82.08"/>
    <n v="9"/>
    <n v="738.72"/>
    <x v="3"/>
    <x v="4"/>
    <x v="8"/>
    <x v="39"/>
  </r>
  <r>
    <d v="2021-09-29T00:00:00"/>
    <x v="26"/>
    <x v="21"/>
    <n v="58.3"/>
    <n v="13"/>
    <n v="757.9"/>
    <x v="10"/>
    <x v="4"/>
    <x v="8"/>
    <x v="39"/>
  </r>
  <r>
    <d v="2021-09-30T00:00:00"/>
    <x v="16"/>
    <x v="7"/>
    <n v="146.72"/>
    <n v="9"/>
    <n v="1320.48"/>
    <x v="6"/>
    <x v="4"/>
    <x v="8"/>
    <x v="39"/>
  </r>
  <r>
    <d v="2021-09-30T00:00:00"/>
    <x v="11"/>
    <x v="34"/>
    <n v="85.5"/>
    <n v="5"/>
    <n v="427.5"/>
    <x v="3"/>
    <x v="4"/>
    <x v="8"/>
    <x v="39"/>
  </r>
  <r>
    <d v="2021-10-01T00:00:00"/>
    <x v="1"/>
    <x v="32"/>
    <n v="201.28"/>
    <n v="14"/>
    <n v="2817.92"/>
    <x v="0"/>
    <x v="1"/>
    <x v="9"/>
    <x v="39"/>
  </r>
  <r>
    <d v="2021-10-02T00:00:00"/>
    <x v="24"/>
    <x v="7"/>
    <n v="146.72"/>
    <n v="15"/>
    <n v="2200.8000000000002"/>
    <x v="2"/>
    <x v="4"/>
    <x v="9"/>
    <x v="39"/>
  </r>
  <r>
    <d v="2021-10-02T00:00:00"/>
    <x v="21"/>
    <x v="20"/>
    <n v="142.80000000000001"/>
    <n v="22"/>
    <n v="3141.6000000000004"/>
    <x v="8"/>
    <x v="4"/>
    <x v="9"/>
    <x v="39"/>
  </r>
  <r>
    <d v="2021-10-03T00:00:00"/>
    <x v="12"/>
    <x v="14"/>
    <n v="210"/>
    <n v="9"/>
    <n v="1890"/>
    <x v="4"/>
    <x v="4"/>
    <x v="9"/>
    <x v="40"/>
  </r>
  <r>
    <d v="2021-10-03T00:00:00"/>
    <x v="15"/>
    <x v="38"/>
    <n v="173.88"/>
    <n v="23"/>
    <n v="3999.24"/>
    <x v="4"/>
    <x v="4"/>
    <x v="9"/>
    <x v="40"/>
  </r>
  <r>
    <d v="2021-10-03T00:00:00"/>
    <x v="23"/>
    <x v="23"/>
    <n v="48.4"/>
    <n v="5"/>
    <n v="242"/>
    <x v="0"/>
    <x v="6"/>
    <x v="9"/>
    <x v="40"/>
  </r>
  <r>
    <d v="2021-10-04T00:00:00"/>
    <x v="29"/>
    <x v="15"/>
    <n v="47.730000000000004"/>
    <n v="15"/>
    <n v="715.95"/>
    <x v="0"/>
    <x v="6"/>
    <x v="9"/>
    <x v="40"/>
  </r>
  <r>
    <d v="2021-10-05T00:00:00"/>
    <x v="34"/>
    <x v="0"/>
    <n v="156.96"/>
    <n v="36"/>
    <n v="5650.56"/>
    <x v="0"/>
    <x v="0"/>
    <x v="9"/>
    <x v="40"/>
  </r>
  <r>
    <d v="2021-10-05T00:00:00"/>
    <x v="14"/>
    <x v="0"/>
    <n v="156.96"/>
    <n v="23"/>
    <n v="3610.0800000000004"/>
    <x v="0"/>
    <x v="3"/>
    <x v="9"/>
    <x v="40"/>
  </r>
  <r>
    <d v="2021-10-06T00:00:00"/>
    <x v="31"/>
    <x v="12"/>
    <n v="6.7"/>
    <n v="1"/>
    <n v="6.7"/>
    <x v="9"/>
    <x v="4"/>
    <x v="9"/>
    <x v="40"/>
  </r>
  <r>
    <d v="2021-10-06T00:00:00"/>
    <x v="21"/>
    <x v="26"/>
    <n v="94.62"/>
    <n v="23"/>
    <n v="2176.2600000000002"/>
    <x v="8"/>
    <x v="4"/>
    <x v="9"/>
    <x v="40"/>
  </r>
  <r>
    <d v="2021-10-06T00:00:00"/>
    <x v="32"/>
    <x v="8"/>
    <n v="83.08"/>
    <n v="17"/>
    <n v="1412.36"/>
    <x v="0"/>
    <x v="5"/>
    <x v="9"/>
    <x v="40"/>
  </r>
  <r>
    <d v="2021-10-06T00:00:00"/>
    <x v="28"/>
    <x v="30"/>
    <n v="162.54"/>
    <n v="10"/>
    <n v="1625.3999999999999"/>
    <x v="11"/>
    <x v="4"/>
    <x v="9"/>
    <x v="40"/>
  </r>
  <r>
    <d v="2021-10-06T00:00:00"/>
    <x v="9"/>
    <x v="43"/>
    <n v="96.3"/>
    <n v="12"/>
    <n v="1155.5999999999999"/>
    <x v="0"/>
    <x v="0"/>
    <x v="9"/>
    <x v="40"/>
  </r>
  <r>
    <d v="2021-10-06T00:00:00"/>
    <x v="39"/>
    <x v="12"/>
    <n v="6.7"/>
    <n v="1"/>
    <n v="6.7"/>
    <x v="3"/>
    <x v="4"/>
    <x v="9"/>
    <x v="40"/>
  </r>
  <r>
    <d v="2021-10-07T00:00:00"/>
    <x v="28"/>
    <x v="42"/>
    <n v="24.66"/>
    <n v="6"/>
    <n v="147.96"/>
    <x v="11"/>
    <x v="4"/>
    <x v="9"/>
    <x v="40"/>
  </r>
  <r>
    <d v="2021-10-09T00:00:00"/>
    <x v="16"/>
    <x v="2"/>
    <n v="79.92"/>
    <n v="14"/>
    <n v="1118.8800000000001"/>
    <x v="6"/>
    <x v="4"/>
    <x v="9"/>
    <x v="40"/>
  </r>
  <r>
    <d v="2021-10-09T00:00:00"/>
    <x v="33"/>
    <x v="2"/>
    <n v="79.92"/>
    <n v="5"/>
    <n v="399.6"/>
    <x v="12"/>
    <x v="4"/>
    <x v="9"/>
    <x v="40"/>
  </r>
  <r>
    <d v="2021-10-09T00:00:00"/>
    <x v="23"/>
    <x v="13"/>
    <n v="117.48"/>
    <n v="11"/>
    <n v="1292.28"/>
    <x v="0"/>
    <x v="6"/>
    <x v="9"/>
    <x v="40"/>
  </r>
  <r>
    <d v="2021-10-10T00:00:00"/>
    <x v="31"/>
    <x v="12"/>
    <n v="6.7"/>
    <n v="14"/>
    <n v="93.8"/>
    <x v="9"/>
    <x v="4"/>
    <x v="9"/>
    <x v="41"/>
  </r>
  <r>
    <d v="2021-10-10T00:00:00"/>
    <x v="31"/>
    <x v="14"/>
    <n v="210"/>
    <n v="9"/>
    <n v="1890"/>
    <x v="9"/>
    <x v="4"/>
    <x v="9"/>
    <x v="41"/>
  </r>
  <r>
    <d v="2021-10-10T00:00:00"/>
    <x v="28"/>
    <x v="28"/>
    <n v="82.08"/>
    <n v="12"/>
    <n v="984.96"/>
    <x v="11"/>
    <x v="4"/>
    <x v="9"/>
    <x v="41"/>
  </r>
  <r>
    <d v="2021-10-11T00:00:00"/>
    <x v="34"/>
    <x v="26"/>
    <n v="94.62"/>
    <n v="10"/>
    <n v="946.2"/>
    <x v="0"/>
    <x v="0"/>
    <x v="9"/>
    <x v="41"/>
  </r>
  <r>
    <d v="2021-10-11T00:00:00"/>
    <x v="26"/>
    <x v="23"/>
    <n v="48.4"/>
    <n v="15"/>
    <n v="726"/>
    <x v="10"/>
    <x v="4"/>
    <x v="9"/>
    <x v="41"/>
  </r>
  <r>
    <d v="2021-10-12T00:00:00"/>
    <x v="17"/>
    <x v="36"/>
    <n v="57.120000000000005"/>
    <n v="8"/>
    <n v="456.96000000000004"/>
    <x v="5"/>
    <x v="4"/>
    <x v="9"/>
    <x v="41"/>
  </r>
  <r>
    <d v="2021-10-13T00:00:00"/>
    <x v="33"/>
    <x v="20"/>
    <n v="142.80000000000001"/>
    <n v="15"/>
    <n v="2142"/>
    <x v="12"/>
    <x v="4"/>
    <x v="9"/>
    <x v="41"/>
  </r>
  <r>
    <d v="2021-10-13T00:00:00"/>
    <x v="9"/>
    <x v="2"/>
    <n v="79.92"/>
    <n v="18"/>
    <n v="1438.56"/>
    <x v="0"/>
    <x v="0"/>
    <x v="9"/>
    <x v="41"/>
  </r>
  <r>
    <d v="2021-10-14T00:00:00"/>
    <x v="37"/>
    <x v="28"/>
    <n v="82.08"/>
    <n v="15"/>
    <n v="1231.2"/>
    <x v="14"/>
    <x v="4"/>
    <x v="9"/>
    <x v="41"/>
  </r>
  <r>
    <d v="2021-10-15T00:00:00"/>
    <x v="36"/>
    <x v="4"/>
    <n v="15.719999999999999"/>
    <n v="10"/>
    <n v="157.19999999999999"/>
    <x v="0"/>
    <x v="1"/>
    <x v="9"/>
    <x v="41"/>
  </r>
  <r>
    <d v="2021-10-16T00:00:00"/>
    <x v="20"/>
    <x v="43"/>
    <n v="96.3"/>
    <n v="3"/>
    <n v="288.89999999999998"/>
    <x v="7"/>
    <x v="4"/>
    <x v="9"/>
    <x v="41"/>
  </r>
  <r>
    <d v="2021-10-16T00:00:00"/>
    <x v="26"/>
    <x v="0"/>
    <n v="156.96"/>
    <n v="18"/>
    <n v="2825.28"/>
    <x v="10"/>
    <x v="4"/>
    <x v="9"/>
    <x v="41"/>
  </r>
  <r>
    <d v="2021-10-16T00:00:00"/>
    <x v="14"/>
    <x v="28"/>
    <n v="82.08"/>
    <n v="18"/>
    <n v="1477.44"/>
    <x v="0"/>
    <x v="3"/>
    <x v="9"/>
    <x v="41"/>
  </r>
  <r>
    <d v="2021-10-17T00:00:00"/>
    <x v="26"/>
    <x v="31"/>
    <n v="103.88"/>
    <n v="13"/>
    <n v="1350.44"/>
    <x v="10"/>
    <x v="4"/>
    <x v="9"/>
    <x v="42"/>
  </r>
  <r>
    <d v="2021-10-18T00:00:00"/>
    <x v="16"/>
    <x v="24"/>
    <n v="162"/>
    <n v="31"/>
    <n v="5022"/>
    <x v="6"/>
    <x v="4"/>
    <x v="9"/>
    <x v="42"/>
  </r>
  <r>
    <d v="2021-10-18T00:00:00"/>
    <x v="12"/>
    <x v="26"/>
    <n v="94.62"/>
    <n v="11"/>
    <n v="1040.8200000000002"/>
    <x v="4"/>
    <x v="4"/>
    <x v="9"/>
    <x v="42"/>
  </r>
  <r>
    <d v="2021-10-18T00:00:00"/>
    <x v="13"/>
    <x v="19"/>
    <n v="80.94"/>
    <n v="6"/>
    <n v="485.64"/>
    <x v="5"/>
    <x v="4"/>
    <x v="9"/>
    <x v="42"/>
  </r>
  <r>
    <d v="2021-10-18T00:00:00"/>
    <x v="0"/>
    <x v="17"/>
    <n v="8.33"/>
    <n v="16"/>
    <n v="133.28"/>
    <x v="0"/>
    <x v="0"/>
    <x v="9"/>
    <x v="42"/>
  </r>
  <r>
    <d v="2021-10-18T00:00:00"/>
    <x v="34"/>
    <x v="17"/>
    <n v="8.33"/>
    <n v="6"/>
    <n v="49.980000000000004"/>
    <x v="0"/>
    <x v="0"/>
    <x v="9"/>
    <x v="42"/>
  </r>
  <r>
    <d v="2021-10-18T00:00:00"/>
    <x v="34"/>
    <x v="30"/>
    <n v="162.54"/>
    <n v="13"/>
    <n v="2113.02"/>
    <x v="0"/>
    <x v="0"/>
    <x v="9"/>
    <x v="42"/>
  </r>
  <r>
    <d v="2021-10-22T00:00:00"/>
    <x v="31"/>
    <x v="23"/>
    <n v="48.4"/>
    <n v="7"/>
    <n v="338.8"/>
    <x v="9"/>
    <x v="4"/>
    <x v="9"/>
    <x v="42"/>
  </r>
  <r>
    <d v="2021-10-22T00:00:00"/>
    <x v="15"/>
    <x v="41"/>
    <n v="7.8599999999999994"/>
    <n v="1"/>
    <n v="7.8599999999999994"/>
    <x v="4"/>
    <x v="4"/>
    <x v="9"/>
    <x v="42"/>
  </r>
  <r>
    <d v="2021-10-22T00:00:00"/>
    <x v="24"/>
    <x v="0"/>
    <n v="156.96"/>
    <n v="13"/>
    <n v="2040.48"/>
    <x v="2"/>
    <x v="4"/>
    <x v="9"/>
    <x v="42"/>
  </r>
  <r>
    <d v="2021-10-22T00:00:00"/>
    <x v="21"/>
    <x v="13"/>
    <n v="117.48"/>
    <n v="34"/>
    <n v="3994.32"/>
    <x v="8"/>
    <x v="4"/>
    <x v="9"/>
    <x v="42"/>
  </r>
  <r>
    <d v="2021-10-22T00:00:00"/>
    <x v="22"/>
    <x v="39"/>
    <n v="42.55"/>
    <n v="24"/>
    <n v="1021.1999999999999"/>
    <x v="9"/>
    <x v="4"/>
    <x v="9"/>
    <x v="42"/>
  </r>
  <r>
    <d v="2021-10-23T00:00:00"/>
    <x v="29"/>
    <x v="0"/>
    <n v="156.96"/>
    <n v="14"/>
    <n v="2197.44"/>
    <x v="0"/>
    <x v="6"/>
    <x v="9"/>
    <x v="42"/>
  </r>
  <r>
    <d v="2021-10-24T00:00:00"/>
    <x v="0"/>
    <x v="43"/>
    <n v="96.3"/>
    <n v="22"/>
    <n v="2118.6"/>
    <x v="0"/>
    <x v="0"/>
    <x v="9"/>
    <x v="43"/>
  </r>
  <r>
    <d v="2021-10-24T00:00:00"/>
    <x v="34"/>
    <x v="23"/>
    <n v="48.4"/>
    <n v="3"/>
    <n v="145.19999999999999"/>
    <x v="0"/>
    <x v="0"/>
    <x v="9"/>
    <x v="43"/>
  </r>
  <r>
    <d v="2021-10-24T00:00:00"/>
    <x v="34"/>
    <x v="17"/>
    <n v="8.33"/>
    <n v="21"/>
    <n v="174.93"/>
    <x v="0"/>
    <x v="0"/>
    <x v="9"/>
    <x v="43"/>
  </r>
  <r>
    <d v="2021-10-24T00:00:00"/>
    <x v="39"/>
    <x v="3"/>
    <n v="119.7"/>
    <n v="4"/>
    <n v="478.8"/>
    <x v="3"/>
    <x v="4"/>
    <x v="9"/>
    <x v="43"/>
  </r>
  <r>
    <d v="2021-10-25T00:00:00"/>
    <x v="28"/>
    <x v="28"/>
    <n v="82.08"/>
    <n v="9"/>
    <n v="738.72"/>
    <x v="11"/>
    <x v="4"/>
    <x v="9"/>
    <x v="43"/>
  </r>
  <r>
    <d v="2021-10-25T00:00:00"/>
    <x v="29"/>
    <x v="31"/>
    <n v="103.88"/>
    <n v="18"/>
    <n v="1869.84"/>
    <x v="0"/>
    <x v="6"/>
    <x v="9"/>
    <x v="43"/>
  </r>
  <r>
    <d v="2021-10-26T00:00:00"/>
    <x v="37"/>
    <x v="9"/>
    <n v="48.84"/>
    <n v="6"/>
    <n v="293.04000000000002"/>
    <x v="14"/>
    <x v="4"/>
    <x v="9"/>
    <x v="43"/>
  </r>
  <r>
    <d v="2021-10-28T00:00:00"/>
    <x v="11"/>
    <x v="26"/>
    <n v="94.62"/>
    <n v="1"/>
    <n v="94.62"/>
    <x v="3"/>
    <x v="4"/>
    <x v="9"/>
    <x v="43"/>
  </r>
  <r>
    <d v="2021-10-28T00:00:00"/>
    <x v="26"/>
    <x v="12"/>
    <n v="6.7"/>
    <n v="39"/>
    <n v="261.3"/>
    <x v="10"/>
    <x v="4"/>
    <x v="9"/>
    <x v="43"/>
  </r>
  <r>
    <d v="2021-10-29T00:00:00"/>
    <x v="36"/>
    <x v="20"/>
    <n v="142.80000000000001"/>
    <n v="23"/>
    <n v="3284.4"/>
    <x v="0"/>
    <x v="1"/>
    <x v="9"/>
    <x v="43"/>
  </r>
  <r>
    <d v="2021-10-29T00:00:00"/>
    <x v="23"/>
    <x v="2"/>
    <n v="79.92"/>
    <n v="14"/>
    <n v="1118.8800000000001"/>
    <x v="0"/>
    <x v="6"/>
    <x v="9"/>
    <x v="43"/>
  </r>
  <r>
    <d v="2021-10-30T00:00:00"/>
    <x v="16"/>
    <x v="32"/>
    <n v="201.28"/>
    <n v="30"/>
    <n v="6038.4"/>
    <x v="6"/>
    <x v="4"/>
    <x v="9"/>
    <x v="43"/>
  </r>
  <r>
    <d v="2021-10-30T00:00:00"/>
    <x v="28"/>
    <x v="17"/>
    <n v="8.33"/>
    <n v="37"/>
    <n v="308.20999999999998"/>
    <x v="11"/>
    <x v="4"/>
    <x v="9"/>
    <x v="43"/>
  </r>
  <r>
    <d v="2021-10-30T00:00:00"/>
    <x v="17"/>
    <x v="24"/>
    <n v="162"/>
    <n v="3"/>
    <n v="486"/>
    <x v="5"/>
    <x v="4"/>
    <x v="9"/>
    <x v="43"/>
  </r>
  <r>
    <d v="2021-10-30T00:00:00"/>
    <x v="14"/>
    <x v="41"/>
    <n v="7.8599999999999994"/>
    <n v="6"/>
    <n v="47.16"/>
    <x v="0"/>
    <x v="3"/>
    <x v="9"/>
    <x v="43"/>
  </r>
  <r>
    <d v="2021-10-31T00:00:00"/>
    <x v="16"/>
    <x v="2"/>
    <n v="79.92"/>
    <n v="8"/>
    <n v="639.36"/>
    <x v="6"/>
    <x v="4"/>
    <x v="9"/>
    <x v="44"/>
  </r>
  <r>
    <d v="2021-10-31T00:00:00"/>
    <x v="37"/>
    <x v="30"/>
    <n v="162.54"/>
    <n v="6"/>
    <n v="975.24"/>
    <x v="14"/>
    <x v="4"/>
    <x v="9"/>
    <x v="44"/>
  </r>
  <r>
    <d v="2021-11-01T00:00:00"/>
    <x v="4"/>
    <x v="11"/>
    <n v="94.17"/>
    <n v="15"/>
    <n v="1412.55"/>
    <x v="0"/>
    <x v="3"/>
    <x v="10"/>
    <x v="44"/>
  </r>
  <r>
    <d v="2021-11-02T00:00:00"/>
    <x v="23"/>
    <x v="4"/>
    <n v="15.719999999999999"/>
    <n v="15"/>
    <n v="235.79999999999998"/>
    <x v="0"/>
    <x v="6"/>
    <x v="10"/>
    <x v="44"/>
  </r>
  <r>
    <d v="2021-11-02T00:00:00"/>
    <x v="29"/>
    <x v="12"/>
    <n v="6.7"/>
    <n v="5"/>
    <n v="33.5"/>
    <x v="0"/>
    <x v="6"/>
    <x v="10"/>
    <x v="44"/>
  </r>
  <r>
    <d v="2021-11-02T00:00:00"/>
    <x v="34"/>
    <x v="32"/>
    <n v="201.28"/>
    <n v="15"/>
    <n v="3019.2"/>
    <x v="0"/>
    <x v="0"/>
    <x v="10"/>
    <x v="44"/>
  </r>
  <r>
    <d v="2021-11-03T00:00:00"/>
    <x v="15"/>
    <x v="29"/>
    <n v="76.25"/>
    <n v="11"/>
    <n v="838.75"/>
    <x v="4"/>
    <x v="4"/>
    <x v="10"/>
    <x v="44"/>
  </r>
  <r>
    <d v="2021-11-03T00:00:00"/>
    <x v="10"/>
    <x v="6"/>
    <n v="122.08"/>
    <n v="12"/>
    <n v="1464.96"/>
    <x v="2"/>
    <x v="4"/>
    <x v="10"/>
    <x v="44"/>
  </r>
  <r>
    <d v="2021-11-04T00:00:00"/>
    <x v="36"/>
    <x v="26"/>
    <n v="94.62"/>
    <n v="10"/>
    <n v="946.2"/>
    <x v="0"/>
    <x v="1"/>
    <x v="10"/>
    <x v="44"/>
  </r>
  <r>
    <d v="2021-11-05T00:00:00"/>
    <x v="23"/>
    <x v="14"/>
    <n v="210"/>
    <n v="15"/>
    <n v="3150"/>
    <x v="0"/>
    <x v="6"/>
    <x v="10"/>
    <x v="44"/>
  </r>
  <r>
    <d v="2021-11-06T00:00:00"/>
    <x v="16"/>
    <x v="8"/>
    <n v="83.08"/>
    <n v="13"/>
    <n v="1080.04"/>
    <x v="6"/>
    <x v="4"/>
    <x v="10"/>
    <x v="44"/>
  </r>
  <r>
    <d v="2021-11-06T00:00:00"/>
    <x v="4"/>
    <x v="24"/>
    <n v="162"/>
    <n v="13"/>
    <n v="2106"/>
    <x v="0"/>
    <x v="3"/>
    <x v="10"/>
    <x v="44"/>
  </r>
  <r>
    <d v="2021-11-06T00:00:00"/>
    <x v="9"/>
    <x v="43"/>
    <n v="96.3"/>
    <n v="10"/>
    <n v="963"/>
    <x v="0"/>
    <x v="0"/>
    <x v="10"/>
    <x v="44"/>
  </r>
  <r>
    <d v="2021-11-06T00:00:00"/>
    <x v="20"/>
    <x v="4"/>
    <n v="15.719999999999999"/>
    <n v="13"/>
    <n v="204.35999999999999"/>
    <x v="7"/>
    <x v="4"/>
    <x v="10"/>
    <x v="44"/>
  </r>
  <r>
    <d v="2021-11-07T00:00:00"/>
    <x v="23"/>
    <x v="32"/>
    <n v="201.28"/>
    <n v="11"/>
    <n v="2214.08"/>
    <x v="0"/>
    <x v="6"/>
    <x v="10"/>
    <x v="45"/>
  </r>
  <r>
    <d v="2021-11-07T00:00:00"/>
    <x v="11"/>
    <x v="35"/>
    <n v="155.61000000000001"/>
    <n v="3"/>
    <n v="466.83000000000004"/>
    <x v="3"/>
    <x v="4"/>
    <x v="10"/>
    <x v="45"/>
  </r>
  <r>
    <d v="2021-11-07T00:00:00"/>
    <x v="1"/>
    <x v="18"/>
    <n v="115.2"/>
    <n v="13"/>
    <n v="1497.6000000000001"/>
    <x v="0"/>
    <x v="1"/>
    <x v="10"/>
    <x v="45"/>
  </r>
  <r>
    <d v="2021-11-08T00:00:00"/>
    <x v="0"/>
    <x v="15"/>
    <n v="47.730000000000004"/>
    <n v="15"/>
    <n v="715.95"/>
    <x v="0"/>
    <x v="0"/>
    <x v="10"/>
    <x v="45"/>
  </r>
  <r>
    <d v="2021-11-08T00:00:00"/>
    <x v="38"/>
    <x v="43"/>
    <n v="96.3"/>
    <n v="11"/>
    <n v="1059.3"/>
    <x v="11"/>
    <x v="4"/>
    <x v="10"/>
    <x v="45"/>
  </r>
  <r>
    <d v="2021-11-08T00:00:00"/>
    <x v="10"/>
    <x v="14"/>
    <n v="210"/>
    <n v="10"/>
    <n v="2100"/>
    <x v="2"/>
    <x v="4"/>
    <x v="10"/>
    <x v="45"/>
  </r>
  <r>
    <d v="2021-11-08T00:00:00"/>
    <x v="26"/>
    <x v="40"/>
    <n v="49.21"/>
    <n v="26"/>
    <n v="1279.46"/>
    <x v="10"/>
    <x v="4"/>
    <x v="10"/>
    <x v="45"/>
  </r>
  <r>
    <d v="2021-11-08T00:00:00"/>
    <x v="14"/>
    <x v="11"/>
    <n v="94.17"/>
    <n v="10"/>
    <n v="941.7"/>
    <x v="0"/>
    <x v="3"/>
    <x v="10"/>
    <x v="45"/>
  </r>
  <r>
    <d v="2021-11-09T00:00:00"/>
    <x v="20"/>
    <x v="23"/>
    <n v="48.4"/>
    <n v="6"/>
    <n v="290.39999999999998"/>
    <x v="7"/>
    <x v="4"/>
    <x v="10"/>
    <x v="45"/>
  </r>
  <r>
    <d v="2021-11-09T00:00:00"/>
    <x v="20"/>
    <x v="36"/>
    <n v="57.120000000000005"/>
    <n v="8"/>
    <n v="456.96000000000004"/>
    <x v="7"/>
    <x v="4"/>
    <x v="10"/>
    <x v="45"/>
  </r>
  <r>
    <d v="2021-11-10T00:00:00"/>
    <x v="31"/>
    <x v="40"/>
    <n v="49.21"/>
    <n v="7"/>
    <n v="344.47"/>
    <x v="9"/>
    <x v="4"/>
    <x v="10"/>
    <x v="45"/>
  </r>
  <r>
    <d v="2021-11-10T00:00:00"/>
    <x v="24"/>
    <x v="24"/>
    <n v="162"/>
    <n v="6"/>
    <n v="972"/>
    <x v="2"/>
    <x v="4"/>
    <x v="10"/>
    <x v="45"/>
  </r>
  <r>
    <d v="2021-11-11T00:00:00"/>
    <x v="5"/>
    <x v="18"/>
    <n v="115.2"/>
    <n v="12"/>
    <n v="1382.4"/>
    <x v="0"/>
    <x v="2"/>
    <x v="10"/>
    <x v="45"/>
  </r>
  <r>
    <d v="2021-11-11T00:00:00"/>
    <x v="26"/>
    <x v="2"/>
    <n v="79.92"/>
    <n v="16"/>
    <n v="1278.72"/>
    <x v="10"/>
    <x v="4"/>
    <x v="10"/>
    <x v="45"/>
  </r>
  <r>
    <d v="2021-11-12T00:00:00"/>
    <x v="33"/>
    <x v="12"/>
    <n v="6.7"/>
    <n v="6"/>
    <n v="40.200000000000003"/>
    <x v="12"/>
    <x v="4"/>
    <x v="10"/>
    <x v="45"/>
  </r>
  <r>
    <d v="2021-11-12T00:00:00"/>
    <x v="14"/>
    <x v="5"/>
    <n v="164.28"/>
    <n v="3"/>
    <n v="492.84000000000003"/>
    <x v="0"/>
    <x v="3"/>
    <x v="10"/>
    <x v="45"/>
  </r>
  <r>
    <d v="2021-11-13T00:00:00"/>
    <x v="38"/>
    <x v="36"/>
    <n v="57.120000000000005"/>
    <n v="10"/>
    <n v="571.20000000000005"/>
    <x v="11"/>
    <x v="4"/>
    <x v="10"/>
    <x v="45"/>
  </r>
  <r>
    <d v="2021-11-14T00:00:00"/>
    <x v="36"/>
    <x v="20"/>
    <n v="142.80000000000001"/>
    <n v="1"/>
    <n v="142.80000000000001"/>
    <x v="0"/>
    <x v="1"/>
    <x v="10"/>
    <x v="46"/>
  </r>
  <r>
    <d v="2021-11-15T00:00:00"/>
    <x v="16"/>
    <x v="36"/>
    <n v="57.120000000000005"/>
    <n v="36"/>
    <n v="2056.3200000000002"/>
    <x v="6"/>
    <x v="4"/>
    <x v="10"/>
    <x v="46"/>
  </r>
  <r>
    <d v="2021-11-15T00:00:00"/>
    <x v="29"/>
    <x v="11"/>
    <n v="94.17"/>
    <n v="14"/>
    <n v="1318.38"/>
    <x v="0"/>
    <x v="6"/>
    <x v="10"/>
    <x v="46"/>
  </r>
  <r>
    <d v="2021-11-16T00:00:00"/>
    <x v="29"/>
    <x v="33"/>
    <n v="156.78"/>
    <n v="8"/>
    <n v="1254.24"/>
    <x v="0"/>
    <x v="6"/>
    <x v="10"/>
    <x v="46"/>
  </r>
  <r>
    <d v="2021-11-17T00:00:00"/>
    <x v="2"/>
    <x v="2"/>
    <n v="79.92"/>
    <n v="33"/>
    <n v="2637.36"/>
    <x v="0"/>
    <x v="2"/>
    <x v="10"/>
    <x v="46"/>
  </r>
  <r>
    <d v="2021-11-18T00:00:00"/>
    <x v="15"/>
    <x v="28"/>
    <n v="82.08"/>
    <n v="18"/>
    <n v="1477.44"/>
    <x v="4"/>
    <x v="4"/>
    <x v="10"/>
    <x v="46"/>
  </r>
  <r>
    <d v="2021-11-18T00:00:00"/>
    <x v="20"/>
    <x v="21"/>
    <n v="58.3"/>
    <n v="8"/>
    <n v="466.4"/>
    <x v="7"/>
    <x v="4"/>
    <x v="10"/>
    <x v="46"/>
  </r>
  <r>
    <d v="2021-11-18T00:00:00"/>
    <x v="6"/>
    <x v="39"/>
    <n v="42.55"/>
    <n v="4"/>
    <n v="170.2"/>
    <x v="0"/>
    <x v="3"/>
    <x v="10"/>
    <x v="46"/>
  </r>
  <r>
    <d v="2021-11-19T00:00:00"/>
    <x v="35"/>
    <x v="40"/>
    <n v="49.21"/>
    <n v="4"/>
    <n v="196.84"/>
    <x v="13"/>
    <x v="4"/>
    <x v="10"/>
    <x v="46"/>
  </r>
  <r>
    <d v="2021-11-20T00:00:00"/>
    <x v="36"/>
    <x v="26"/>
    <n v="94.62"/>
    <n v="11"/>
    <n v="1040.8200000000002"/>
    <x v="0"/>
    <x v="1"/>
    <x v="10"/>
    <x v="46"/>
  </r>
  <r>
    <d v="2021-11-20T00:00:00"/>
    <x v="19"/>
    <x v="1"/>
    <n v="141.57"/>
    <n v="34"/>
    <n v="4813.38"/>
    <x v="4"/>
    <x v="4"/>
    <x v="10"/>
    <x v="46"/>
  </r>
  <r>
    <d v="2021-11-20T00:00:00"/>
    <x v="35"/>
    <x v="21"/>
    <n v="58.3"/>
    <n v="14"/>
    <n v="816.19999999999993"/>
    <x v="13"/>
    <x v="4"/>
    <x v="10"/>
    <x v="46"/>
  </r>
  <r>
    <d v="2021-11-21T00:00:00"/>
    <x v="2"/>
    <x v="34"/>
    <n v="85.5"/>
    <n v="1"/>
    <n v="85.5"/>
    <x v="0"/>
    <x v="2"/>
    <x v="10"/>
    <x v="47"/>
  </r>
  <r>
    <d v="2021-11-21T00:00:00"/>
    <x v="0"/>
    <x v="38"/>
    <n v="173.88"/>
    <n v="24"/>
    <n v="4173.12"/>
    <x v="0"/>
    <x v="0"/>
    <x v="10"/>
    <x v="47"/>
  </r>
  <r>
    <d v="2021-11-21T00:00:00"/>
    <x v="24"/>
    <x v="29"/>
    <n v="76.25"/>
    <n v="6"/>
    <n v="457.5"/>
    <x v="2"/>
    <x v="4"/>
    <x v="10"/>
    <x v="47"/>
  </r>
  <r>
    <d v="2021-11-21T00:00:00"/>
    <x v="18"/>
    <x v="24"/>
    <n v="162"/>
    <n v="10"/>
    <n v="1620"/>
    <x v="0"/>
    <x v="5"/>
    <x v="10"/>
    <x v="47"/>
  </r>
  <r>
    <d v="2021-11-21T00:00:00"/>
    <x v="7"/>
    <x v="7"/>
    <n v="146.72"/>
    <n v="1"/>
    <n v="146.72"/>
    <x v="1"/>
    <x v="4"/>
    <x v="10"/>
    <x v="47"/>
  </r>
  <r>
    <d v="2021-11-22T00:00:00"/>
    <x v="34"/>
    <x v="33"/>
    <n v="156.78"/>
    <n v="35"/>
    <n v="5487.3"/>
    <x v="0"/>
    <x v="0"/>
    <x v="10"/>
    <x v="47"/>
  </r>
  <r>
    <d v="2021-11-23T00:00:00"/>
    <x v="17"/>
    <x v="43"/>
    <n v="96.3"/>
    <n v="12"/>
    <n v="1155.5999999999999"/>
    <x v="5"/>
    <x v="4"/>
    <x v="10"/>
    <x v="47"/>
  </r>
  <r>
    <d v="2021-11-25T00:00:00"/>
    <x v="38"/>
    <x v="9"/>
    <n v="48.84"/>
    <n v="5"/>
    <n v="244.20000000000002"/>
    <x v="11"/>
    <x v="4"/>
    <x v="10"/>
    <x v="47"/>
  </r>
  <r>
    <d v="2021-11-25T00:00:00"/>
    <x v="34"/>
    <x v="19"/>
    <n v="80.94"/>
    <n v="10"/>
    <n v="809.4"/>
    <x v="0"/>
    <x v="0"/>
    <x v="10"/>
    <x v="47"/>
  </r>
  <r>
    <d v="2021-11-25T00:00:00"/>
    <x v="34"/>
    <x v="25"/>
    <n v="16.64"/>
    <n v="14"/>
    <n v="232.96"/>
    <x v="0"/>
    <x v="0"/>
    <x v="10"/>
    <x v="47"/>
  </r>
  <r>
    <d v="2021-11-26T00:00:00"/>
    <x v="17"/>
    <x v="41"/>
    <n v="7.8599999999999994"/>
    <n v="25"/>
    <n v="196.5"/>
    <x v="5"/>
    <x v="4"/>
    <x v="10"/>
    <x v="47"/>
  </r>
  <r>
    <d v="2021-11-26T00:00:00"/>
    <x v="20"/>
    <x v="13"/>
    <n v="117.48"/>
    <n v="5"/>
    <n v="587.4"/>
    <x v="7"/>
    <x v="4"/>
    <x v="10"/>
    <x v="47"/>
  </r>
  <r>
    <d v="2021-11-27T00:00:00"/>
    <x v="5"/>
    <x v="11"/>
    <n v="94.17"/>
    <n v="8"/>
    <n v="753.36"/>
    <x v="0"/>
    <x v="2"/>
    <x v="10"/>
    <x v="47"/>
  </r>
  <r>
    <d v="2021-11-27T00:00:00"/>
    <x v="5"/>
    <x v="21"/>
    <n v="58.3"/>
    <n v="15"/>
    <n v="874.5"/>
    <x v="0"/>
    <x v="2"/>
    <x v="10"/>
    <x v="47"/>
  </r>
  <r>
    <d v="2021-11-27T00:00:00"/>
    <x v="28"/>
    <x v="3"/>
    <n v="119.7"/>
    <n v="28"/>
    <n v="3351.6"/>
    <x v="11"/>
    <x v="4"/>
    <x v="10"/>
    <x v="47"/>
  </r>
  <r>
    <d v="2021-11-27T00:00:00"/>
    <x v="17"/>
    <x v="12"/>
    <n v="6.7"/>
    <n v="28"/>
    <n v="187.6"/>
    <x v="5"/>
    <x v="4"/>
    <x v="10"/>
    <x v="47"/>
  </r>
  <r>
    <d v="2021-11-27T00:00:00"/>
    <x v="18"/>
    <x v="1"/>
    <n v="141.57"/>
    <n v="37"/>
    <n v="5238.09"/>
    <x v="0"/>
    <x v="5"/>
    <x v="10"/>
    <x v="47"/>
  </r>
  <r>
    <d v="2021-11-28T00:00:00"/>
    <x v="4"/>
    <x v="37"/>
    <n v="41.81"/>
    <n v="9"/>
    <n v="376.29"/>
    <x v="0"/>
    <x v="3"/>
    <x v="10"/>
    <x v="48"/>
  </r>
  <r>
    <d v="2021-11-28T00:00:00"/>
    <x v="24"/>
    <x v="18"/>
    <n v="115.2"/>
    <n v="2"/>
    <n v="230.4"/>
    <x v="2"/>
    <x v="4"/>
    <x v="10"/>
    <x v="48"/>
  </r>
  <r>
    <d v="2021-11-28T00:00:00"/>
    <x v="23"/>
    <x v="16"/>
    <n v="104.16"/>
    <n v="8"/>
    <n v="833.28"/>
    <x v="0"/>
    <x v="6"/>
    <x v="10"/>
    <x v="48"/>
  </r>
  <r>
    <d v="2021-11-30T00:00:00"/>
    <x v="33"/>
    <x v="39"/>
    <n v="42.55"/>
    <n v="15"/>
    <n v="638.25"/>
    <x v="12"/>
    <x v="4"/>
    <x v="10"/>
    <x v="48"/>
  </r>
  <r>
    <d v="2021-11-30T00:00:00"/>
    <x v="0"/>
    <x v="4"/>
    <n v="15.719999999999999"/>
    <n v="2"/>
    <n v="31.439999999999998"/>
    <x v="0"/>
    <x v="0"/>
    <x v="10"/>
    <x v="48"/>
  </r>
  <r>
    <d v="2021-12-02T00:00:00"/>
    <x v="22"/>
    <x v="25"/>
    <n v="16.64"/>
    <n v="10"/>
    <n v="166.4"/>
    <x v="9"/>
    <x v="4"/>
    <x v="11"/>
    <x v="48"/>
  </r>
  <r>
    <d v="2021-12-03T00:00:00"/>
    <x v="17"/>
    <x v="14"/>
    <n v="210"/>
    <n v="8"/>
    <n v="1680"/>
    <x v="5"/>
    <x v="4"/>
    <x v="11"/>
    <x v="48"/>
  </r>
  <r>
    <d v="2021-12-03T00:00:00"/>
    <x v="19"/>
    <x v="21"/>
    <n v="58.3"/>
    <n v="2"/>
    <n v="116.6"/>
    <x v="4"/>
    <x v="4"/>
    <x v="11"/>
    <x v="48"/>
  </r>
  <r>
    <d v="2021-12-03T00:00:00"/>
    <x v="6"/>
    <x v="37"/>
    <n v="41.81"/>
    <n v="5"/>
    <n v="209.05"/>
    <x v="0"/>
    <x v="3"/>
    <x v="11"/>
    <x v="48"/>
  </r>
  <r>
    <d v="2021-12-04T00:00:00"/>
    <x v="2"/>
    <x v="9"/>
    <n v="48.84"/>
    <n v="32"/>
    <n v="1562.88"/>
    <x v="0"/>
    <x v="2"/>
    <x v="11"/>
    <x v="48"/>
  </r>
  <r>
    <d v="2021-12-04T00:00:00"/>
    <x v="33"/>
    <x v="28"/>
    <n v="82.08"/>
    <n v="15"/>
    <n v="1231.2"/>
    <x v="12"/>
    <x v="4"/>
    <x v="11"/>
    <x v="48"/>
  </r>
  <r>
    <d v="2021-12-04T00:00:00"/>
    <x v="21"/>
    <x v="42"/>
    <n v="24.66"/>
    <n v="10"/>
    <n v="246.6"/>
    <x v="8"/>
    <x v="4"/>
    <x v="11"/>
    <x v="48"/>
  </r>
  <r>
    <d v="2021-12-05T00:00:00"/>
    <x v="21"/>
    <x v="17"/>
    <n v="8.33"/>
    <n v="12"/>
    <n v="99.960000000000008"/>
    <x v="8"/>
    <x v="4"/>
    <x v="11"/>
    <x v="49"/>
  </r>
  <r>
    <d v="2021-12-05T00:00:00"/>
    <x v="9"/>
    <x v="9"/>
    <n v="48.84"/>
    <n v="15"/>
    <n v="732.6"/>
    <x v="0"/>
    <x v="0"/>
    <x v="11"/>
    <x v="49"/>
  </r>
  <r>
    <d v="2021-12-05T00:00:00"/>
    <x v="18"/>
    <x v="5"/>
    <n v="164.28"/>
    <n v="1"/>
    <n v="164.28"/>
    <x v="0"/>
    <x v="5"/>
    <x v="11"/>
    <x v="49"/>
  </r>
  <r>
    <d v="2021-12-07T00:00:00"/>
    <x v="37"/>
    <x v="2"/>
    <n v="79.92"/>
    <n v="5"/>
    <n v="399.6"/>
    <x v="14"/>
    <x v="4"/>
    <x v="11"/>
    <x v="49"/>
  </r>
  <r>
    <d v="2021-12-07T00:00:00"/>
    <x v="23"/>
    <x v="25"/>
    <n v="16.64"/>
    <n v="13"/>
    <n v="216.32"/>
    <x v="0"/>
    <x v="6"/>
    <x v="11"/>
    <x v="49"/>
  </r>
  <r>
    <d v="2021-12-07T00:00:00"/>
    <x v="26"/>
    <x v="2"/>
    <n v="79.92"/>
    <n v="12"/>
    <n v="959.04"/>
    <x v="10"/>
    <x v="4"/>
    <x v="11"/>
    <x v="49"/>
  </r>
  <r>
    <d v="2021-12-07T00:00:00"/>
    <x v="7"/>
    <x v="34"/>
    <n v="85.5"/>
    <n v="27"/>
    <n v="2308.5"/>
    <x v="1"/>
    <x v="4"/>
    <x v="11"/>
    <x v="49"/>
  </r>
  <r>
    <d v="2021-12-07T00:00:00"/>
    <x v="39"/>
    <x v="6"/>
    <n v="122.08"/>
    <n v="8"/>
    <n v="976.64"/>
    <x v="3"/>
    <x v="4"/>
    <x v="11"/>
    <x v="49"/>
  </r>
  <r>
    <d v="2021-12-08T00:00:00"/>
    <x v="18"/>
    <x v="38"/>
    <n v="173.88"/>
    <n v="32"/>
    <n v="5564.16"/>
    <x v="0"/>
    <x v="5"/>
    <x v="11"/>
    <x v="49"/>
  </r>
  <r>
    <d v="2021-12-08T00:00:00"/>
    <x v="35"/>
    <x v="28"/>
    <n v="82.08"/>
    <n v="14"/>
    <n v="1149.1199999999999"/>
    <x v="13"/>
    <x v="4"/>
    <x v="11"/>
    <x v="49"/>
  </r>
  <r>
    <d v="2021-12-09T00:00:00"/>
    <x v="17"/>
    <x v="15"/>
    <n v="47.730000000000004"/>
    <n v="16"/>
    <n v="763.68000000000006"/>
    <x v="5"/>
    <x v="4"/>
    <x v="11"/>
    <x v="49"/>
  </r>
  <r>
    <d v="2021-12-10T00:00:00"/>
    <x v="17"/>
    <x v="33"/>
    <n v="156.78"/>
    <n v="6"/>
    <n v="940.68000000000006"/>
    <x v="5"/>
    <x v="4"/>
    <x v="11"/>
    <x v="49"/>
  </r>
  <r>
    <d v="2021-12-10T00:00:00"/>
    <x v="39"/>
    <x v="22"/>
    <n v="85.76"/>
    <n v="19"/>
    <n v="1629.44"/>
    <x v="3"/>
    <x v="4"/>
    <x v="11"/>
    <x v="49"/>
  </r>
  <r>
    <d v="2021-12-11T00:00:00"/>
    <x v="12"/>
    <x v="7"/>
    <n v="146.72"/>
    <n v="10"/>
    <n v="1467.2"/>
    <x v="4"/>
    <x v="4"/>
    <x v="11"/>
    <x v="49"/>
  </r>
  <r>
    <d v="2021-12-11T00:00:00"/>
    <x v="23"/>
    <x v="36"/>
    <n v="57.120000000000005"/>
    <n v="5"/>
    <n v="285.60000000000002"/>
    <x v="0"/>
    <x v="6"/>
    <x v="11"/>
    <x v="49"/>
  </r>
  <r>
    <d v="2021-12-11T00:00:00"/>
    <x v="34"/>
    <x v="6"/>
    <n v="122.08"/>
    <n v="9"/>
    <n v="1098.72"/>
    <x v="0"/>
    <x v="0"/>
    <x v="11"/>
    <x v="49"/>
  </r>
  <r>
    <d v="2021-12-12T00:00:00"/>
    <x v="9"/>
    <x v="38"/>
    <n v="173.88"/>
    <n v="10"/>
    <n v="1738.8"/>
    <x v="0"/>
    <x v="0"/>
    <x v="11"/>
    <x v="50"/>
  </r>
  <r>
    <d v="2021-12-12T00:00:00"/>
    <x v="18"/>
    <x v="32"/>
    <n v="201.28"/>
    <n v="9"/>
    <n v="1811.52"/>
    <x v="0"/>
    <x v="5"/>
    <x v="11"/>
    <x v="50"/>
  </r>
  <r>
    <d v="2021-12-14T00:00:00"/>
    <x v="12"/>
    <x v="11"/>
    <n v="94.17"/>
    <n v="6"/>
    <n v="565.02"/>
    <x v="4"/>
    <x v="4"/>
    <x v="11"/>
    <x v="50"/>
  </r>
  <r>
    <d v="2021-12-14T00:00:00"/>
    <x v="38"/>
    <x v="24"/>
    <n v="162"/>
    <n v="4"/>
    <n v="648"/>
    <x v="11"/>
    <x v="4"/>
    <x v="11"/>
    <x v="50"/>
  </r>
  <r>
    <d v="2021-12-14T00:00:00"/>
    <x v="35"/>
    <x v="35"/>
    <n v="155.61000000000001"/>
    <n v="4"/>
    <n v="622.44000000000005"/>
    <x v="13"/>
    <x v="4"/>
    <x v="11"/>
    <x v="50"/>
  </r>
  <r>
    <d v="2021-12-15T00:00:00"/>
    <x v="0"/>
    <x v="32"/>
    <n v="201.28"/>
    <n v="33"/>
    <n v="6642.24"/>
    <x v="0"/>
    <x v="0"/>
    <x v="11"/>
    <x v="50"/>
  </r>
  <r>
    <d v="2021-12-15T00:00:00"/>
    <x v="23"/>
    <x v="41"/>
    <n v="7.8599999999999994"/>
    <n v="13"/>
    <n v="102.17999999999999"/>
    <x v="0"/>
    <x v="6"/>
    <x v="11"/>
    <x v="50"/>
  </r>
  <r>
    <d v="2021-12-15T00:00:00"/>
    <x v="34"/>
    <x v="25"/>
    <n v="16.64"/>
    <n v="6"/>
    <n v="99.84"/>
    <x v="0"/>
    <x v="0"/>
    <x v="11"/>
    <x v="50"/>
  </r>
  <r>
    <d v="2021-12-16T00:00:00"/>
    <x v="18"/>
    <x v="5"/>
    <n v="164.28"/>
    <n v="9"/>
    <n v="1478.52"/>
    <x v="0"/>
    <x v="5"/>
    <x v="11"/>
    <x v="50"/>
  </r>
  <r>
    <d v="2021-12-17T00:00:00"/>
    <x v="31"/>
    <x v="42"/>
    <n v="24.66"/>
    <n v="20"/>
    <n v="493.2"/>
    <x v="9"/>
    <x v="4"/>
    <x v="11"/>
    <x v="50"/>
  </r>
  <r>
    <d v="2021-12-18T00:00:00"/>
    <x v="24"/>
    <x v="1"/>
    <n v="141.57"/>
    <n v="8"/>
    <n v="1132.56"/>
    <x v="2"/>
    <x v="4"/>
    <x v="11"/>
    <x v="50"/>
  </r>
  <r>
    <d v="2021-12-18T00:00:00"/>
    <x v="34"/>
    <x v="19"/>
    <n v="80.94"/>
    <n v="2"/>
    <n v="161.88"/>
    <x v="0"/>
    <x v="0"/>
    <x v="11"/>
    <x v="50"/>
  </r>
  <r>
    <d v="2021-12-19T00:00:00"/>
    <x v="37"/>
    <x v="12"/>
    <n v="6.7"/>
    <n v="20"/>
    <n v="134"/>
    <x v="14"/>
    <x v="4"/>
    <x v="11"/>
    <x v="51"/>
  </r>
  <r>
    <d v="2021-12-19T00:00:00"/>
    <x v="0"/>
    <x v="28"/>
    <n v="82.08"/>
    <n v="7"/>
    <n v="574.55999999999995"/>
    <x v="0"/>
    <x v="0"/>
    <x v="11"/>
    <x v="51"/>
  </r>
  <r>
    <d v="2021-12-19T00:00:00"/>
    <x v="0"/>
    <x v="41"/>
    <n v="7.8599999999999994"/>
    <n v="11"/>
    <n v="86.46"/>
    <x v="0"/>
    <x v="0"/>
    <x v="11"/>
    <x v="51"/>
  </r>
  <r>
    <d v="2021-12-19T00:00:00"/>
    <x v="23"/>
    <x v="10"/>
    <n v="53.11"/>
    <n v="3"/>
    <n v="159.32999999999998"/>
    <x v="0"/>
    <x v="6"/>
    <x v="11"/>
    <x v="51"/>
  </r>
  <r>
    <d v="2021-12-19T00:00:00"/>
    <x v="28"/>
    <x v="23"/>
    <n v="48.4"/>
    <n v="14"/>
    <n v="677.6"/>
    <x v="11"/>
    <x v="4"/>
    <x v="11"/>
    <x v="51"/>
  </r>
  <r>
    <d v="2021-12-19T00:00:00"/>
    <x v="17"/>
    <x v="27"/>
    <n v="149.46"/>
    <n v="12"/>
    <n v="1793.52"/>
    <x v="5"/>
    <x v="4"/>
    <x v="11"/>
    <x v="51"/>
  </r>
  <r>
    <d v="2021-12-19T00:00:00"/>
    <x v="18"/>
    <x v="27"/>
    <n v="149.46"/>
    <n v="13"/>
    <n v="1942.98"/>
    <x v="0"/>
    <x v="5"/>
    <x v="11"/>
    <x v="51"/>
  </r>
  <r>
    <d v="2021-12-19T00:00:00"/>
    <x v="26"/>
    <x v="23"/>
    <n v="48.4"/>
    <n v="10"/>
    <n v="484"/>
    <x v="10"/>
    <x v="4"/>
    <x v="11"/>
    <x v="51"/>
  </r>
  <r>
    <d v="2021-12-20T00:00:00"/>
    <x v="4"/>
    <x v="11"/>
    <n v="94.17"/>
    <n v="14"/>
    <n v="1318.38"/>
    <x v="0"/>
    <x v="3"/>
    <x v="11"/>
    <x v="51"/>
  </r>
  <r>
    <d v="2021-12-20T00:00:00"/>
    <x v="9"/>
    <x v="12"/>
    <n v="6.7"/>
    <n v="24"/>
    <n v="160.80000000000001"/>
    <x v="0"/>
    <x v="0"/>
    <x v="11"/>
    <x v="51"/>
  </r>
  <r>
    <d v="2021-12-21T00:00:00"/>
    <x v="31"/>
    <x v="34"/>
    <n v="85.5"/>
    <n v="10"/>
    <n v="855"/>
    <x v="9"/>
    <x v="4"/>
    <x v="11"/>
    <x v="51"/>
  </r>
  <r>
    <d v="2021-12-21T00:00:00"/>
    <x v="5"/>
    <x v="42"/>
    <n v="24.66"/>
    <n v="10"/>
    <n v="246.6"/>
    <x v="0"/>
    <x v="2"/>
    <x v="11"/>
    <x v="51"/>
  </r>
  <r>
    <d v="2021-12-21T00:00:00"/>
    <x v="38"/>
    <x v="29"/>
    <n v="76.25"/>
    <n v="16"/>
    <n v="1220"/>
    <x v="11"/>
    <x v="4"/>
    <x v="11"/>
    <x v="51"/>
  </r>
  <r>
    <d v="2021-12-21T00:00:00"/>
    <x v="18"/>
    <x v="1"/>
    <n v="141.57"/>
    <n v="16"/>
    <n v="2265.12"/>
    <x v="0"/>
    <x v="5"/>
    <x v="11"/>
    <x v="51"/>
  </r>
  <r>
    <d v="2021-12-22T00:00:00"/>
    <x v="8"/>
    <x v="38"/>
    <n v="173.88"/>
    <n v="35"/>
    <n v="6085.8"/>
    <x v="0"/>
    <x v="3"/>
    <x v="11"/>
    <x v="51"/>
  </r>
  <r>
    <d v="2021-12-22T00:00:00"/>
    <x v="5"/>
    <x v="24"/>
    <n v="162"/>
    <n v="5"/>
    <n v="810"/>
    <x v="0"/>
    <x v="2"/>
    <x v="11"/>
    <x v="51"/>
  </r>
  <r>
    <d v="2021-12-24T00:00:00"/>
    <x v="38"/>
    <x v="43"/>
    <n v="96.3"/>
    <n v="8"/>
    <n v="770.4"/>
    <x v="11"/>
    <x v="4"/>
    <x v="11"/>
    <x v="51"/>
  </r>
  <r>
    <d v="2021-12-24T00:00:00"/>
    <x v="20"/>
    <x v="24"/>
    <n v="162"/>
    <n v="8"/>
    <n v="1296"/>
    <x v="7"/>
    <x v="4"/>
    <x v="11"/>
    <x v="51"/>
  </r>
  <r>
    <d v="2021-12-25T00:00:00"/>
    <x v="33"/>
    <x v="23"/>
    <n v="48.4"/>
    <n v="29"/>
    <n v="1403.6"/>
    <x v="12"/>
    <x v="4"/>
    <x v="11"/>
    <x v="51"/>
  </r>
  <r>
    <d v="2021-12-25T00:00:00"/>
    <x v="33"/>
    <x v="17"/>
    <n v="8.33"/>
    <n v="39"/>
    <n v="324.87"/>
    <x v="12"/>
    <x v="4"/>
    <x v="11"/>
    <x v="51"/>
  </r>
  <r>
    <d v="2021-12-25T00:00:00"/>
    <x v="4"/>
    <x v="18"/>
    <n v="115.2"/>
    <n v="15"/>
    <n v="1728"/>
    <x v="0"/>
    <x v="3"/>
    <x v="11"/>
    <x v="51"/>
  </r>
  <r>
    <d v="2021-12-26T00:00:00"/>
    <x v="26"/>
    <x v="38"/>
    <n v="173.88"/>
    <n v="14"/>
    <n v="2434.3199999999997"/>
    <x v="10"/>
    <x v="4"/>
    <x v="11"/>
    <x v="52"/>
  </r>
  <r>
    <d v="2021-12-26T00:00:00"/>
    <x v="6"/>
    <x v="22"/>
    <n v="85.76"/>
    <n v="36"/>
    <n v="3087.36"/>
    <x v="0"/>
    <x v="3"/>
    <x v="11"/>
    <x v="52"/>
  </r>
  <r>
    <d v="2021-12-27T00:00:00"/>
    <x v="6"/>
    <x v="5"/>
    <n v="164.28"/>
    <n v="26"/>
    <n v="4271.28"/>
    <x v="0"/>
    <x v="3"/>
    <x v="11"/>
    <x v="52"/>
  </r>
  <r>
    <d v="2021-12-27T00:00:00"/>
    <x v="39"/>
    <x v="10"/>
    <n v="53.11"/>
    <n v="14"/>
    <n v="743.54"/>
    <x v="3"/>
    <x v="4"/>
    <x v="11"/>
    <x v="52"/>
  </r>
  <r>
    <d v="2021-12-28T00:00:00"/>
    <x v="8"/>
    <x v="10"/>
    <n v="53.11"/>
    <n v="6"/>
    <n v="318.65999999999997"/>
    <x v="0"/>
    <x v="3"/>
    <x v="11"/>
    <x v="52"/>
  </r>
  <r>
    <d v="2021-12-29T00:00:00"/>
    <x v="2"/>
    <x v="26"/>
    <n v="94.62"/>
    <n v="15"/>
    <n v="1419.3000000000002"/>
    <x v="0"/>
    <x v="2"/>
    <x v="11"/>
    <x v="52"/>
  </r>
  <r>
    <d v="2021-12-29T00:00:00"/>
    <x v="33"/>
    <x v="34"/>
    <n v="85.5"/>
    <n v="26"/>
    <n v="2223"/>
    <x v="12"/>
    <x v="4"/>
    <x v="11"/>
    <x v="52"/>
  </r>
  <r>
    <d v="2021-12-29T00:00:00"/>
    <x v="19"/>
    <x v="24"/>
    <n v="162"/>
    <n v="1"/>
    <n v="162"/>
    <x v="4"/>
    <x v="4"/>
    <x v="11"/>
    <x v="52"/>
  </r>
  <r>
    <d v="2021-12-30T00:00:00"/>
    <x v="2"/>
    <x v="5"/>
    <n v="164.28"/>
    <n v="13"/>
    <n v="2135.64"/>
    <x v="0"/>
    <x v="2"/>
    <x v="11"/>
    <x v="52"/>
  </r>
  <r>
    <d v="2021-12-30T00:00:00"/>
    <x v="0"/>
    <x v="38"/>
    <n v="173.88"/>
    <n v="14"/>
    <n v="2434.3199999999997"/>
    <x v="0"/>
    <x v="0"/>
    <x v="11"/>
    <x v="52"/>
  </r>
  <r>
    <d v="2021-12-30T00:00:00"/>
    <x v="20"/>
    <x v="32"/>
    <n v="201.28"/>
    <n v="31"/>
    <n v="6239.68"/>
    <x v="7"/>
    <x v="4"/>
    <x v="11"/>
    <x v="52"/>
  </r>
  <r>
    <d v="2021-12-31T00:00:00"/>
    <x v="12"/>
    <x v="23"/>
    <n v="48.4"/>
    <n v="6"/>
    <n v="290.39999999999998"/>
    <x v="4"/>
    <x v="4"/>
    <x v="11"/>
    <x v="52"/>
  </r>
  <r>
    <d v="2021-12-31T00:00:00"/>
    <x v="9"/>
    <x v="3"/>
    <n v="119.7"/>
    <n v="12"/>
    <n v="1436.4"/>
    <x v="0"/>
    <x v="0"/>
    <x v="11"/>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3813F52-FC48-414A-BAE7-07B00E1E08B9}"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R2:S17" firstHeaderRow="1" firstDataRow="1" firstDataCol="1"/>
  <pivotFields count="10">
    <pivotField numFmtId="14" showAll="0"/>
    <pivotField showAll="0"/>
    <pivotField showAll="0"/>
    <pivotField numFmtId="4" showAll="0"/>
    <pivotField showAll="0"/>
    <pivotField dataField="1" showAll="0"/>
    <pivotField axis="axisRow" showAll="0">
      <items count="16">
        <item x="12"/>
        <item x="11"/>
        <item x="10"/>
        <item x="13"/>
        <item x="1"/>
        <item x="0"/>
        <item x="14"/>
        <item x="8"/>
        <item x="6"/>
        <item x="4"/>
        <item x="5"/>
        <item x="9"/>
        <item x="7"/>
        <item x="2"/>
        <item x="3"/>
        <item t="default"/>
      </items>
    </pivotField>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6"/>
  </rowFields>
  <rowItems count="15">
    <i>
      <x/>
    </i>
    <i>
      <x v="1"/>
    </i>
    <i>
      <x v="2"/>
    </i>
    <i>
      <x v="3"/>
    </i>
    <i>
      <x v="4"/>
    </i>
    <i>
      <x v="5"/>
    </i>
    <i>
      <x v="6"/>
    </i>
    <i>
      <x v="7"/>
    </i>
    <i>
      <x v="8"/>
    </i>
    <i>
      <x v="9"/>
    </i>
    <i>
      <x v="10"/>
    </i>
    <i>
      <x v="11"/>
    </i>
    <i>
      <x v="12"/>
    </i>
    <i>
      <x v="13"/>
    </i>
    <i>
      <x v="14"/>
    </i>
  </rowItems>
  <colItems count="1">
    <i/>
  </colItems>
  <dataFields count="1">
    <dataField name="Sum of Actual Column"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D209A7-A04B-40E7-A1C9-0F58E5238E77}"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C2:D14" firstHeaderRow="1" firstDataRow="1" firstDataCol="1"/>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axis="axisRow" showAll="0">
      <items count="13">
        <item x="0"/>
        <item x="1"/>
        <item x="2"/>
        <item x="3"/>
        <item x="4"/>
        <item x="5"/>
        <item x="6"/>
        <item x="7"/>
        <item x="8"/>
        <item x="9"/>
        <item x="10"/>
        <item x="11"/>
        <item t="default"/>
      </items>
    </pivotField>
    <pivotField showAll="0"/>
  </pivotFields>
  <rowFields count="1">
    <field x="8"/>
  </rowFields>
  <rowItems count="12">
    <i>
      <x/>
    </i>
    <i>
      <x v="1"/>
    </i>
    <i>
      <x v="2"/>
    </i>
    <i>
      <x v="3"/>
    </i>
    <i>
      <x v="4"/>
    </i>
    <i>
      <x v="5"/>
    </i>
    <i>
      <x v="6"/>
    </i>
    <i>
      <x v="7"/>
    </i>
    <i>
      <x v="8"/>
    </i>
    <i>
      <x v="9"/>
    </i>
    <i>
      <x v="10"/>
    </i>
    <i>
      <x v="11"/>
    </i>
  </rowItems>
  <colItems count="1">
    <i/>
  </colItems>
  <dataFields count="1">
    <dataField name="Sum of Actual Column"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79D185-A2D8-43CC-A56C-7029D6CB0925}"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O2:P9" firstHeaderRow="1" firstDataRow="1" firstDataCol="1"/>
  <pivotFields count="10">
    <pivotField numFmtId="14" showAll="0"/>
    <pivotField showAll="0"/>
    <pivotField showAll="0"/>
    <pivotField numFmtId="4" showAll="0"/>
    <pivotField showAll="0"/>
    <pivotField dataField="1" showAll="0"/>
    <pivotField showAll="0"/>
    <pivotField axis="axisRow"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7"/>
  </rowFields>
  <rowItems count="7">
    <i>
      <x/>
    </i>
    <i>
      <x v="1"/>
    </i>
    <i>
      <x v="2"/>
    </i>
    <i>
      <x v="3"/>
    </i>
    <i>
      <x v="4"/>
    </i>
    <i>
      <x v="5"/>
    </i>
    <i>
      <x v="6"/>
    </i>
  </rowItems>
  <colItems count="1">
    <i/>
  </colItems>
  <dataFields count="1">
    <dataField name="Sum of Actual Column" fld="5" baseField="0" baseItem="0"/>
  </dataFields>
  <chartFormats count="16">
    <chartFormat chart="1" format="0"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9" format="10">
      <pivotArea type="data" outline="0" fieldPosition="0">
        <references count="2">
          <reference field="4294967294" count="1" selected="0">
            <x v="0"/>
          </reference>
          <reference field="7" count="1" selected="0">
            <x v="0"/>
          </reference>
        </references>
      </pivotArea>
    </chartFormat>
    <chartFormat chart="9" format="11">
      <pivotArea type="data" outline="0" fieldPosition="0">
        <references count="2">
          <reference field="4294967294" count="1" selected="0">
            <x v="0"/>
          </reference>
          <reference field="7" count="1" selected="0">
            <x v="1"/>
          </reference>
        </references>
      </pivotArea>
    </chartFormat>
    <chartFormat chart="9" format="12">
      <pivotArea type="data" outline="0" fieldPosition="0">
        <references count="2">
          <reference field="4294967294" count="1" selected="0">
            <x v="0"/>
          </reference>
          <reference field="7" count="1" selected="0">
            <x v="2"/>
          </reference>
        </references>
      </pivotArea>
    </chartFormat>
    <chartFormat chart="9" format="13">
      <pivotArea type="data" outline="0" fieldPosition="0">
        <references count="2">
          <reference field="4294967294" count="1" selected="0">
            <x v="0"/>
          </reference>
          <reference field="7" count="1" selected="0">
            <x v="3"/>
          </reference>
        </references>
      </pivotArea>
    </chartFormat>
    <chartFormat chart="9" format="14">
      <pivotArea type="data" outline="0" fieldPosition="0">
        <references count="2">
          <reference field="4294967294" count="1" selected="0">
            <x v="0"/>
          </reference>
          <reference field="7" count="1" selected="0">
            <x v="4"/>
          </reference>
        </references>
      </pivotArea>
    </chartFormat>
    <chartFormat chart="9" format="15">
      <pivotArea type="data" outline="0" fieldPosition="0">
        <references count="2">
          <reference field="4294967294" count="1" selected="0">
            <x v="0"/>
          </reference>
          <reference field="7" count="1" selected="0">
            <x v="5"/>
          </reference>
        </references>
      </pivotArea>
    </chartFormat>
    <chartFormat chart="9" format="16">
      <pivotArea type="data" outline="0" fieldPosition="0">
        <references count="2">
          <reference field="4294967294" count="1" selected="0">
            <x v="0"/>
          </reference>
          <reference field="7" count="1" selected="0">
            <x v="6"/>
          </reference>
        </references>
      </pivotArea>
    </chartFormat>
    <chartFormat chart="1" format="1">
      <pivotArea type="data" outline="0" fieldPosition="0">
        <references count="2">
          <reference field="4294967294" count="1" selected="0">
            <x v="0"/>
          </reference>
          <reference field="7" count="1" selected="0">
            <x v="0"/>
          </reference>
        </references>
      </pivotArea>
    </chartFormat>
    <chartFormat chart="1" format="2">
      <pivotArea type="data" outline="0" fieldPosition="0">
        <references count="2">
          <reference field="4294967294" count="1" selected="0">
            <x v="0"/>
          </reference>
          <reference field="7" count="1" selected="0">
            <x v="1"/>
          </reference>
        </references>
      </pivotArea>
    </chartFormat>
    <chartFormat chart="1" format="3">
      <pivotArea type="data" outline="0" fieldPosition="0">
        <references count="2">
          <reference field="4294967294" count="1" selected="0">
            <x v="0"/>
          </reference>
          <reference field="7" count="1" selected="0">
            <x v="2"/>
          </reference>
        </references>
      </pivotArea>
    </chartFormat>
    <chartFormat chart="1" format="4">
      <pivotArea type="data" outline="0" fieldPosition="0">
        <references count="2">
          <reference field="4294967294" count="1" selected="0">
            <x v="0"/>
          </reference>
          <reference field="7" count="1" selected="0">
            <x v="3"/>
          </reference>
        </references>
      </pivotArea>
    </chartFormat>
    <chartFormat chart="1" format="5">
      <pivotArea type="data" outline="0" fieldPosition="0">
        <references count="2">
          <reference field="4294967294" count="1" selected="0">
            <x v="0"/>
          </reference>
          <reference field="7" count="1" selected="0">
            <x v="4"/>
          </reference>
        </references>
      </pivotArea>
    </chartFormat>
    <chartFormat chart="1" format="6">
      <pivotArea type="data" outline="0" fieldPosition="0">
        <references count="2">
          <reference field="4294967294" count="1" selected="0">
            <x v="0"/>
          </reference>
          <reference field="7" count="1" selected="0">
            <x v="5"/>
          </reference>
        </references>
      </pivotArea>
    </chartFormat>
    <chartFormat chart="1" format="7">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615B9E-C39B-4ED1-AF0B-D289131600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Items count="1">
    <i/>
  </rowItems>
  <colItems count="1">
    <i/>
  </colItems>
  <dataFields count="1">
    <dataField name="Sum of Actual Column" fld="5" baseField="0" baseItem="0" numFmtId="3"/>
  </dataField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0C49624-0ED5-4A44-A376-BA15F48B1427}"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4">
  <location ref="L2:M12" firstHeaderRow="1" firstDataRow="1" firstDataCol="1"/>
  <pivotFields count="10">
    <pivotField numFmtId="14" showAll="0"/>
    <pivotField showAll="0"/>
    <pivotField axis="axisRow" showAll="0" measureFilter="1">
      <items count="45">
        <item x="31"/>
        <item x="20"/>
        <item x="19"/>
        <item x="9"/>
        <item x="35"/>
        <item x="34"/>
        <item x="15"/>
        <item x="26"/>
        <item x="41"/>
        <item x="5"/>
        <item x="23"/>
        <item x="11"/>
        <item x="6"/>
        <item x="7"/>
        <item x="4"/>
        <item x="25"/>
        <item x="33"/>
        <item x="40"/>
        <item x="14"/>
        <item x="29"/>
        <item x="30"/>
        <item x="1"/>
        <item x="27"/>
        <item x="0"/>
        <item x="17"/>
        <item x="42"/>
        <item x="36"/>
        <item x="37"/>
        <item x="10"/>
        <item x="32"/>
        <item x="16"/>
        <item x="13"/>
        <item x="3"/>
        <item x="21"/>
        <item x="12"/>
        <item x="43"/>
        <item x="22"/>
        <item x="2"/>
        <item x="39"/>
        <item x="18"/>
        <item x="38"/>
        <item x="24"/>
        <item x="8"/>
        <item x="28"/>
        <item t="default"/>
      </items>
    </pivotField>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2"/>
  </rowFields>
  <rowItems count="10">
    <i>
      <x v="4"/>
    </i>
    <i>
      <x v="9"/>
    </i>
    <i>
      <x v="18"/>
    </i>
    <i>
      <x v="20"/>
    </i>
    <i>
      <x v="21"/>
    </i>
    <i>
      <x v="23"/>
    </i>
    <i>
      <x v="29"/>
    </i>
    <i>
      <x v="31"/>
    </i>
    <i>
      <x v="40"/>
    </i>
    <i>
      <x v="41"/>
    </i>
  </rowItems>
  <colItems count="1">
    <i/>
  </colItems>
  <dataFields count="1">
    <dataField name="Sum of Actual Column" fld="5" baseField="0" baseItem="0" numFmtId="166"/>
  </dataFields>
  <formats count="1">
    <format dxfId="19">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811D5B-EBC7-4D7B-802F-800FC03AE9F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I2:J5" firstHeaderRow="1" firstDataRow="1" firstDataCol="1"/>
  <pivotFields count="10">
    <pivotField numFmtId="14" showAll="0"/>
    <pivotField axis="axisRow" showAll="0" measureFilter="1" sortType="descending">
      <items count="41">
        <item x="16"/>
        <item x="33"/>
        <item x="3"/>
        <item x="31"/>
        <item x="4"/>
        <item x="15"/>
        <item x="37"/>
        <item x="24"/>
        <item x="13"/>
        <item x="36"/>
        <item x="21"/>
        <item x="32"/>
        <item x="38"/>
        <item x="23"/>
        <item x="28"/>
        <item x="17"/>
        <item x="22"/>
        <item x="9"/>
        <item x="18"/>
        <item x="10"/>
        <item x="20"/>
        <item x="29"/>
        <item x="34"/>
        <item x="25"/>
        <item x="26"/>
        <item x="14"/>
        <item x="27"/>
        <item x="35"/>
        <item x="1"/>
        <item x="30"/>
        <item x="2"/>
        <item x="12"/>
        <item x="0"/>
        <item x="8"/>
        <item x="5"/>
        <item x="19"/>
        <item x="11"/>
        <item x="6"/>
        <item x="7"/>
        <item x="39"/>
        <item t="default"/>
      </items>
      <autoSortScope>
        <pivotArea dataOnly="0" outline="0" fieldPosition="0">
          <references count="1">
            <reference field="4294967294" count="1" selected="0">
              <x v="0"/>
            </reference>
          </references>
        </pivotArea>
      </autoSortScope>
    </pivotField>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showAll="0"/>
  </pivotFields>
  <rowFields count="1">
    <field x="1"/>
  </rowFields>
  <rowItems count="3">
    <i>
      <x v="32"/>
    </i>
    <i>
      <x v="21"/>
    </i>
    <i>
      <x v="22"/>
    </i>
  </rowItems>
  <colItems count="1">
    <i/>
  </colItems>
  <dataFields count="1">
    <dataField name="Sum of Actual Column" fld="5" baseField="0" baseItem="0"/>
  </dataFields>
  <pivotTableStyleInfo name="PivotStyleLight16" showRowHeaders="1" showColHeaders="1" showRowStripes="0" showColStripes="0" showLastColumn="1"/>
  <filters count="1">
    <filter fld="1"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09E490F-69E3-42F5-8C0F-6EBCCE08968D}"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F2:G55" firstHeaderRow="1" firstDataRow="1" firstDataCol="1"/>
  <pivotFields count="10">
    <pivotField numFmtId="14" showAll="0"/>
    <pivotField showAll="0"/>
    <pivotField showAll="0"/>
    <pivotField numFmtId="4" showAll="0"/>
    <pivotField showAll="0"/>
    <pivotField dataField="1" showAll="0"/>
    <pivotField showAll="0"/>
    <pivotField showAll="0">
      <items count="8">
        <item x="5"/>
        <item x="6"/>
        <item x="4"/>
        <item x="2"/>
        <item x="3"/>
        <item x="1"/>
        <item x="0"/>
        <item t="default"/>
      </items>
    </pivotField>
    <pivotField showAll="0">
      <items count="13">
        <item x="0"/>
        <item x="1"/>
        <item x="2"/>
        <item x="3"/>
        <item x="4"/>
        <item x="5"/>
        <item x="6"/>
        <item x="7"/>
        <item x="8"/>
        <item x="9"/>
        <item x="10"/>
        <item x="11"/>
        <item t="default"/>
      </items>
    </pivotField>
    <pivotField axis="axisRow"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s>
  <rowFields count="1">
    <field x="9"/>
  </rowFields>
  <rowItems count="5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rowItems>
  <colItems count="1">
    <i/>
  </colItems>
  <dataFields count="1">
    <dataField name="Sum of Actual Column" fld="5" baseField="0" baseItem="0"/>
  </dataFields>
  <chartFormats count="2">
    <chartFormat chart="3"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171D48-844C-4075-84CF-BD926CD35713}" sourceName="Region">
  <pivotTables>
    <pivotTable tabId="9" name="PivotTable7"/>
    <pivotTable tabId="9" name="PivotTable1"/>
    <pivotTable tabId="9" name="PivotTable2"/>
    <pivotTable tabId="9" name="PivotTable3"/>
    <pivotTable tabId="9" name="PivotTable4"/>
    <pivotTable tabId="9" name="PivotTable5"/>
    <pivotTable tabId="9" name="PivotTable6"/>
  </pivotTables>
  <data>
    <tabular pivotCacheId="1480676954">
      <items count="7">
        <i x="5" s="1"/>
        <i x="6" s="1"/>
        <i x="4" s="1"/>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272CE0A-2A4A-4FA2-9855-E2D062FE78B4}" sourceName="Month">
  <pivotTables>
    <pivotTable tabId="9" name="PivotTable7"/>
    <pivotTable tabId="9" name="PivotTable1"/>
    <pivotTable tabId="9" name="PivotTable2"/>
    <pivotTable tabId="9" name="PivotTable3"/>
    <pivotTable tabId="9" name="PivotTable4"/>
    <pivotTable tabId="9" name="PivotTable5"/>
    <pivotTable tabId="9" name="PivotTable6"/>
  </pivotTables>
  <data>
    <tabular pivotCacheId="1480676954">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883A7BA-1DA2-40A3-A11C-FE59F53B0A47}" cache="Slicer_Region" caption="Region" rowHeight="241300"/>
  <slicer name="Month" xr10:uid="{EC2180D0-966A-468D-8D75-91CC10F1A803}"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EEE4494-A121-42AF-826E-E9845E92F674}" cache="Slicer_Region" caption="Region" showCaption="0" style="SlicerStyleDark2 2" rowHeight="274320"/>
  <slicer name="Month 1" xr10:uid="{B9424789-A76C-45E8-8B35-A863FF153FCF}" cache="Slicer_Month" caption="Month" columnCount="4" showCaption="0" style="SlicerStyleDark2 2" rowHeight="36576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1:J833" totalsRowShown="0" headerRowDxfId="48" dataDxfId="46" headerRowBorderDxfId="47">
  <autoFilter ref="A1:J833" xr:uid="{60351B27-4213-4B50-AF1E-6DD234ED1CD8}"/>
  <sortState xmlns:xlrd2="http://schemas.microsoft.com/office/spreadsheetml/2017/richdata2" ref="A2:E833">
    <sortCondition ref="A1:A833"/>
  </sortState>
  <tableColumns count="10">
    <tableColumn id="1" xr3:uid="{7E2D9722-C99A-4D79-AD8A-A4AF24D31B15}" name="DATE" dataDxfId="45" totalsRowDxfId="44"/>
    <tableColumn id="7" xr3:uid="{304B12AC-0228-4F17-A98A-1CAA20F1E66F}" name="CUSTOMER NAME" dataDxfId="43" totalsRowDxfId="42"/>
    <tableColumn id="4" xr3:uid="{ADAE3F09-9DD0-4996-A8A9-A560ACE428D0}" name="PRODUCT" dataDxfId="41" totalsRowDxfId="40"/>
    <tableColumn id="6" xr3:uid="{D84FA6C2-6488-41F6-803C-EF2DB5E1BB3C}" name="UNIT PRICE ($)" dataDxfId="39" totalsRowDxfId="38" dataCellStyle="Comma" totalsRowCellStyle="Comma"/>
    <tableColumn id="2" xr3:uid="{3D21C161-3520-4EEB-95C2-BC89A67F811B}" name="QUANTITY" dataDxfId="37" totalsRowDxfId="36"/>
    <tableColumn id="3" xr3:uid="{62A8E648-F4F1-4BD9-A2D6-3E5D2BCBEC14}" name="Actual" dataDxfId="35">
      <calculatedColumnFormula>InputData[[#This Row],[UNIT PRICE ($)]]*InputData[[#This Row],[QUANTITY]]</calculatedColumnFormula>
    </tableColumn>
    <tableColumn id="5" xr3:uid="{F455EF04-7AD7-4A19-AC80-AFECD860B2E5}" name="Country" dataDxfId="34">
      <calculatedColumnFormula>VLOOKUP(InputData[[#This Row],[CUSTOMER NAME]],Country[#All],2,0)</calculatedColumnFormula>
    </tableColumn>
    <tableColumn id="9" xr3:uid="{C34A0B0E-A88B-4BE7-B590-81B787A9B49E}" name="Region" dataDxfId="33">
      <calculatedColumnFormula>VLOOKUP(InputData[[#This Row],[CUSTOMER NAME]],Country[#All],3,0)</calculatedColumnFormula>
    </tableColumn>
    <tableColumn id="10" xr3:uid="{26C0290A-8ED9-4659-A1A4-04EE3AE6DCA7}" name="Month" dataDxfId="32">
      <calculatedColumnFormula>TEXT(InputData[[#This Row],[DATE]],"MMM")</calculatedColumnFormula>
    </tableColumn>
    <tableColumn id="11" xr3:uid="{B7A3BBE1-3274-42A6-9F21-FA488A268F2F}" name="Week" dataDxfId="31">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A1:F13" totalsRowShown="0">
  <autoFilter ref="A1:F13" xr:uid="{1362778A-F38D-48C8-BC78-94850B1D78DF}"/>
  <tableColumns count="6">
    <tableColumn id="3" xr3:uid="{F1AC905D-2819-4DF0-BD69-2F3448A5CB0B}" name="Month" dataDxfId="30"/>
    <tableColumn id="1" xr3:uid="{7E15E36E-1D29-4C1F-937B-F6ED2566A237}" name="Month Name" dataDxfId="29"/>
    <tableColumn id="2" xr3:uid="{16689519-8940-4E31-97FA-FB7C3607F6A5}" name="Target ($)" dataDxfId="28"/>
    <tableColumn id="4" xr3:uid="{281325A2-5B71-4CD3-8846-55FA2823B9F1}" name="Actual" dataDxfId="27">
      <calculatedColumnFormula>VLOOKUP(TargetData[[#This Row],[Month Name]],'Analysis Sheet'!C2:D14,2,0)</calculatedColumnFormula>
    </tableColumn>
    <tableColumn id="5" xr3:uid="{F60C27C3-BAA7-4764-B1F5-8D1758F01EE4}" name="Below" dataDxfId="26">
      <calculatedColumnFormula>IF(TargetData[[#This Row],[Actual]]&lt;TargetData[[#This Row],[Target ($)]],TargetData[[#This Row],[Actual]],NA())</calculatedColumnFormula>
    </tableColumn>
    <tableColumn id="6" xr3:uid="{607249ED-FEBD-4BE2-AB95-CA7E09B813FE}" name="Actual2" dataDxfId="25">
      <calculatedColumnFormula>IF(TargetData[[#This Row],[Actual]]&gt;TargetData[[#This Row],[Target ($)]],TargetData[[#This Row],[Actual]],NA())</calculatedColumnFormula>
    </tableColumn>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24" headerRowBorderDxfId="23">
  <autoFilter ref="A1:C41" xr:uid="{A1484F8F-F990-476D-AC0A-22802092E6B5}"/>
  <sortState xmlns:xlrd2="http://schemas.microsoft.com/office/spreadsheetml/2017/richdata2" ref="A2:C41">
    <sortCondition ref="A1:A41"/>
  </sortState>
  <tableColumns count="3">
    <tableColumn id="1" xr3:uid="{19491024-23D3-4302-A629-AA327DBEA5BC}" name="Customer Name" dataDxfId="22"/>
    <tableColumn id="2" xr3:uid="{2667C84B-7A6D-49CB-99B7-D752F4C88E66}" name="Country" dataDxfId="21"/>
    <tableColumn id="3" xr3:uid="{8B1962F1-87DE-4B20-AD4E-433BA3B41D41}" name="Region" dataDxfId="2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J833"/>
  <sheetViews>
    <sheetView topLeftCell="B1" zoomScaleNormal="100" workbookViewId="0">
      <selection activeCell="F2" sqref="F2"/>
    </sheetView>
  </sheetViews>
  <sheetFormatPr defaultColWidth="8.85546875" defaultRowHeight="15" x14ac:dyDescent="0.25"/>
  <cols>
    <col min="1" max="1" width="11.85546875" style="1" bestFit="1" customWidth="1"/>
    <col min="2" max="2" width="21" style="6" bestFit="1" customWidth="1"/>
    <col min="3" max="4" width="17.85546875" style="1" customWidth="1"/>
    <col min="5" max="5" width="16.28515625" style="1" bestFit="1" customWidth="1"/>
    <col min="6" max="16384" width="8.85546875" style="1"/>
  </cols>
  <sheetData>
    <row r="1" spans="1:10" ht="15.75" thickBot="1" x14ac:dyDescent="0.3">
      <c r="A1" s="2" t="s">
        <v>45</v>
      </c>
      <c r="B1" s="2" t="s">
        <v>128</v>
      </c>
      <c r="C1" s="2" t="s">
        <v>0</v>
      </c>
      <c r="D1" s="2" t="s">
        <v>59</v>
      </c>
      <c r="E1" s="2" t="s">
        <v>46</v>
      </c>
      <c r="F1" s="2" t="s">
        <v>131</v>
      </c>
      <c r="G1" s="2" t="s">
        <v>105</v>
      </c>
      <c r="H1" s="2" t="s">
        <v>120</v>
      </c>
      <c r="I1" s="2" t="s">
        <v>119</v>
      </c>
      <c r="J1" s="2" t="s">
        <v>129</v>
      </c>
    </row>
    <row r="2" spans="1:10" x14ac:dyDescent="0.25">
      <c r="A2" s="3">
        <v>44197</v>
      </c>
      <c r="B2" s="6" t="s">
        <v>110</v>
      </c>
      <c r="C2" s="4" t="s">
        <v>24</v>
      </c>
      <c r="D2" s="5">
        <v>156.96</v>
      </c>
      <c r="E2" s="1">
        <v>9</v>
      </c>
      <c r="F2" s="1">
        <f>InputData[[#This Row],[UNIT PRICE ($)]]*InputData[[#This Row],[QUANTITY]]</f>
        <v>1412.64</v>
      </c>
      <c r="G2" s="1" t="str">
        <f>VLOOKUP(InputData[[#This Row],[CUSTOMER NAME]],Country[#All],2,0)</f>
        <v>India</v>
      </c>
      <c r="H2" s="1" t="str">
        <f>VLOOKUP(InputData[[#This Row],[CUSTOMER NAME]],Country[#All],3,0)</f>
        <v>Western</v>
      </c>
      <c r="I2" s="1" t="str">
        <f>TEXT(InputData[[#This Row],[DATE]],"MMM")</f>
        <v>Jan</v>
      </c>
      <c r="J2" s="1">
        <f>WEEKNUM(InputData[[#This Row],[DATE]])</f>
        <v>1</v>
      </c>
    </row>
    <row r="3" spans="1:10" x14ac:dyDescent="0.25">
      <c r="A3" s="3">
        <v>44197</v>
      </c>
      <c r="B3" s="6" t="s">
        <v>88</v>
      </c>
      <c r="C3" s="4" t="s">
        <v>22</v>
      </c>
      <c r="D3" s="5">
        <v>141.57</v>
      </c>
      <c r="E3" s="1">
        <v>1</v>
      </c>
      <c r="F3" s="1">
        <f>InputData[[#This Row],[UNIT PRICE ($)]]*InputData[[#This Row],[QUANTITY]]</f>
        <v>141.57</v>
      </c>
      <c r="G3" s="1" t="str">
        <f>VLOOKUP(InputData[[#This Row],[CUSTOMER NAME]],Country[#All],2,0)</f>
        <v>India</v>
      </c>
      <c r="H3" s="1" t="str">
        <f>VLOOKUP(InputData[[#This Row],[CUSTOMER NAME]],Country[#All],3,0)</f>
        <v>South</v>
      </c>
      <c r="I3" s="1" t="str">
        <f>TEXT(InputData[[#This Row],[DATE]],"MMM")</f>
        <v>Jan</v>
      </c>
      <c r="J3" s="1">
        <f>WEEKNUM(InputData[[#This Row],[DATE]])</f>
        <v>1</v>
      </c>
    </row>
    <row r="4" spans="1:10" x14ac:dyDescent="0.25">
      <c r="A4" s="3">
        <v>44198</v>
      </c>
      <c r="B4" s="6" t="s">
        <v>108</v>
      </c>
      <c r="C4" s="4" t="s">
        <v>38</v>
      </c>
      <c r="D4" s="5">
        <v>79.92</v>
      </c>
      <c r="E4" s="1">
        <v>15</v>
      </c>
      <c r="F4" s="1">
        <f>InputData[[#This Row],[UNIT PRICE ($)]]*InputData[[#This Row],[QUANTITY]]</f>
        <v>1198.8</v>
      </c>
      <c r="G4" s="1" t="str">
        <f>VLOOKUP(InputData[[#This Row],[CUSTOMER NAME]],Country[#All],2,0)</f>
        <v>India</v>
      </c>
      <c r="H4" s="1" t="str">
        <f>VLOOKUP(InputData[[#This Row],[CUSTOMER NAME]],Country[#All],3,0)</f>
        <v>North</v>
      </c>
      <c r="I4" s="1" t="str">
        <f>TEXT(InputData[[#This Row],[DATE]],"MMM")</f>
        <v>Jan</v>
      </c>
      <c r="J4" s="1">
        <f>WEEKNUM(InputData[[#This Row],[DATE]])</f>
        <v>1</v>
      </c>
    </row>
    <row r="5" spans="1:10" x14ac:dyDescent="0.25">
      <c r="A5" s="3">
        <v>44198</v>
      </c>
      <c r="B5" s="6" t="s">
        <v>62</v>
      </c>
      <c r="C5" s="4" t="s">
        <v>33</v>
      </c>
      <c r="D5" s="5">
        <v>119.7</v>
      </c>
      <c r="E5" s="1">
        <v>1</v>
      </c>
      <c r="F5" s="1">
        <f>InputData[[#This Row],[UNIT PRICE ($)]]*InputData[[#This Row],[QUANTITY]]</f>
        <v>119.7</v>
      </c>
      <c r="G5" s="1" t="str">
        <f>VLOOKUP(InputData[[#This Row],[CUSTOMER NAME]],Country[#All],2,0)</f>
        <v>India</v>
      </c>
      <c r="H5" s="1" t="str">
        <f>VLOOKUP(InputData[[#This Row],[CUSTOMER NAME]],Country[#All],3,0)</f>
        <v>Northeast</v>
      </c>
      <c r="I5" s="1" t="str">
        <f>TEXT(InputData[[#This Row],[DATE]],"MMM")</f>
        <v>Jan</v>
      </c>
      <c r="J5" s="1">
        <f>WEEKNUM(InputData[[#This Row],[DATE]])</f>
        <v>1</v>
      </c>
    </row>
    <row r="6" spans="1:10" x14ac:dyDescent="0.25">
      <c r="A6" s="3">
        <v>44198</v>
      </c>
      <c r="B6" s="6" t="s">
        <v>64</v>
      </c>
      <c r="C6" s="4" t="s">
        <v>15</v>
      </c>
      <c r="D6" s="5">
        <v>15.719999999999999</v>
      </c>
      <c r="E6" s="1">
        <v>2</v>
      </c>
      <c r="F6" s="1">
        <f>InputData[[#This Row],[UNIT PRICE ($)]]*InputData[[#This Row],[QUANTITY]]</f>
        <v>31.439999999999998</v>
      </c>
      <c r="G6" s="1" t="str">
        <f>VLOOKUP(InputData[[#This Row],[CUSTOMER NAME]],Country[#All],2,0)</f>
        <v>India</v>
      </c>
      <c r="H6" s="1" t="str">
        <f>VLOOKUP(InputData[[#This Row],[CUSTOMER NAME]],Country[#All],3,0)</f>
        <v>Northeast</v>
      </c>
      <c r="I6" s="1" t="str">
        <f>TEXT(InputData[[#This Row],[DATE]],"MMM")</f>
        <v>Jan</v>
      </c>
      <c r="J6" s="1">
        <f>WEEKNUM(InputData[[#This Row],[DATE]])</f>
        <v>1</v>
      </c>
    </row>
    <row r="7" spans="1:10" x14ac:dyDescent="0.25">
      <c r="A7" s="3">
        <v>44198</v>
      </c>
      <c r="B7" s="6" t="s">
        <v>112</v>
      </c>
      <c r="C7" s="4" t="s">
        <v>10</v>
      </c>
      <c r="D7" s="5">
        <v>164.28</v>
      </c>
      <c r="E7" s="1">
        <v>7</v>
      </c>
      <c r="F7" s="1">
        <f>InputData[[#This Row],[UNIT PRICE ($)]]*InputData[[#This Row],[QUANTITY]]</f>
        <v>1149.96</v>
      </c>
      <c r="G7" s="1" t="str">
        <f>VLOOKUP(InputData[[#This Row],[CUSTOMER NAME]],Country[#All],2,0)</f>
        <v>India</v>
      </c>
      <c r="H7" s="1" t="str">
        <f>VLOOKUP(InputData[[#This Row],[CUSTOMER NAME]],Country[#All],3,0)</f>
        <v>North</v>
      </c>
      <c r="I7" s="1" t="str">
        <f>TEXT(InputData[[#This Row],[DATE]],"MMM")</f>
        <v>Jan</v>
      </c>
      <c r="J7" s="1">
        <f>WEEKNUM(InputData[[#This Row],[DATE]])</f>
        <v>1</v>
      </c>
    </row>
    <row r="8" spans="1:10" x14ac:dyDescent="0.25">
      <c r="A8" s="3">
        <v>44198</v>
      </c>
      <c r="B8" s="6" t="s">
        <v>115</v>
      </c>
      <c r="C8" s="4" t="s">
        <v>13</v>
      </c>
      <c r="D8" s="5">
        <v>122.08</v>
      </c>
      <c r="E8" s="1">
        <v>6</v>
      </c>
      <c r="F8" s="1">
        <f>InputData[[#This Row],[UNIT PRICE ($)]]*InputData[[#This Row],[QUANTITY]]</f>
        <v>732.48</v>
      </c>
      <c r="G8" s="1" t="str">
        <f>VLOOKUP(InputData[[#This Row],[CUSTOMER NAME]],Country[#All],2,0)</f>
        <v>India</v>
      </c>
      <c r="H8" s="1" t="str">
        <f>VLOOKUP(InputData[[#This Row],[CUSTOMER NAME]],Country[#All],3,0)</f>
        <v>Northeast</v>
      </c>
      <c r="I8" s="1" t="str">
        <f>TEXT(InputData[[#This Row],[DATE]],"MMM")</f>
        <v>Jan</v>
      </c>
      <c r="J8" s="1">
        <f>WEEKNUM(InputData[[#This Row],[DATE]])</f>
        <v>1</v>
      </c>
    </row>
    <row r="9" spans="1:10" x14ac:dyDescent="0.25">
      <c r="A9" s="3">
        <v>44198</v>
      </c>
      <c r="B9" s="6" t="s">
        <v>116</v>
      </c>
      <c r="C9" s="4" t="s">
        <v>15</v>
      </c>
      <c r="D9" s="5">
        <v>15.719999999999999</v>
      </c>
      <c r="E9" s="1">
        <v>25</v>
      </c>
      <c r="F9" s="1">
        <f>InputData[[#This Row],[UNIT PRICE ($)]]*InputData[[#This Row],[QUANTITY]]</f>
        <v>393</v>
      </c>
      <c r="G9" s="1" t="str">
        <f>VLOOKUP(InputData[[#This Row],[CUSTOMER NAME]],Country[#All],2,0)</f>
        <v>Germany</v>
      </c>
      <c r="H9" s="1" t="str">
        <f>VLOOKUP(InputData[[#This Row],[CUSTOMER NAME]],Country[#All],3,0)</f>
        <v>Export</v>
      </c>
      <c r="I9" s="1" t="str">
        <f>TEXT(InputData[[#This Row],[DATE]],"MMM")</f>
        <v>Jan</v>
      </c>
      <c r="J9" s="1">
        <f>WEEKNUM(InputData[[#This Row],[DATE]])</f>
        <v>1</v>
      </c>
    </row>
    <row r="10" spans="1:10" x14ac:dyDescent="0.25">
      <c r="A10" s="3">
        <v>44199</v>
      </c>
      <c r="B10" s="6" t="s">
        <v>111</v>
      </c>
      <c r="C10" s="4" t="s">
        <v>14</v>
      </c>
      <c r="D10" s="5">
        <v>146.72</v>
      </c>
      <c r="E10" s="1">
        <v>21</v>
      </c>
      <c r="F10" s="1">
        <f>InputData[[#This Row],[UNIT PRICE ($)]]*InputData[[#This Row],[QUANTITY]]</f>
        <v>3081.12</v>
      </c>
      <c r="G10" s="1" t="str">
        <f>VLOOKUP(InputData[[#This Row],[CUSTOMER NAME]],Country[#All],2,0)</f>
        <v>India</v>
      </c>
      <c r="H10" s="1" t="str">
        <f>VLOOKUP(InputData[[#This Row],[CUSTOMER NAME]],Country[#All],3,0)</f>
        <v>Northeast</v>
      </c>
      <c r="I10" s="1" t="str">
        <f>TEXT(InputData[[#This Row],[DATE]],"MMM")</f>
        <v>Jan</v>
      </c>
      <c r="J10" s="1">
        <f>WEEKNUM(InputData[[#This Row],[DATE]])</f>
        <v>2</v>
      </c>
    </row>
    <row r="11" spans="1:10" x14ac:dyDescent="0.25">
      <c r="A11" s="3">
        <v>44199</v>
      </c>
      <c r="B11" s="6" t="s">
        <v>77</v>
      </c>
      <c r="C11" s="4" t="s">
        <v>43</v>
      </c>
      <c r="D11" s="5">
        <v>83.08</v>
      </c>
      <c r="E11" s="1">
        <v>9</v>
      </c>
      <c r="F11" s="1">
        <f>InputData[[#This Row],[UNIT PRICE ($)]]*InputData[[#This Row],[QUANTITY]]</f>
        <v>747.72</v>
      </c>
      <c r="G11" s="1" t="str">
        <f>VLOOKUP(InputData[[#This Row],[CUSTOMER NAME]],Country[#All],2,0)</f>
        <v>India</v>
      </c>
      <c r="H11" s="1" t="str">
        <f>VLOOKUP(InputData[[#This Row],[CUSTOMER NAME]],Country[#All],3,0)</f>
        <v>Western</v>
      </c>
      <c r="I11" s="1" t="str">
        <f>TEXT(InputData[[#This Row],[DATE]],"MMM")</f>
        <v>Jan</v>
      </c>
      <c r="J11" s="1">
        <f>WEEKNUM(InputData[[#This Row],[DATE]])</f>
        <v>2</v>
      </c>
    </row>
    <row r="12" spans="1:10" x14ac:dyDescent="0.25">
      <c r="A12" s="3">
        <v>44199</v>
      </c>
      <c r="B12" s="6" t="s">
        <v>79</v>
      </c>
      <c r="C12" s="4" t="s">
        <v>38</v>
      </c>
      <c r="D12" s="5">
        <v>79.92</v>
      </c>
      <c r="E12" s="1">
        <v>31</v>
      </c>
      <c r="F12" s="1">
        <f>InputData[[#This Row],[UNIT PRICE ($)]]*InputData[[#This Row],[QUANTITY]]</f>
        <v>2477.52</v>
      </c>
      <c r="G12" s="1" t="str">
        <f>VLOOKUP(InputData[[#This Row],[CUSTOMER NAME]],Country[#All],2,0)</f>
        <v>United Kingdom</v>
      </c>
      <c r="H12" s="1" t="str">
        <f>VLOOKUP(InputData[[#This Row],[CUSTOMER NAME]],Country[#All],3,0)</f>
        <v>Export</v>
      </c>
      <c r="I12" s="1" t="str">
        <f>TEXT(InputData[[#This Row],[DATE]],"MMM")</f>
        <v>Jan</v>
      </c>
      <c r="J12" s="1">
        <f>WEEKNUM(InputData[[#This Row],[DATE]])</f>
        <v>2</v>
      </c>
    </row>
    <row r="13" spans="1:10" x14ac:dyDescent="0.25">
      <c r="A13" s="3">
        <v>44199</v>
      </c>
      <c r="B13" s="6" t="s">
        <v>114</v>
      </c>
      <c r="C13" s="4" t="s">
        <v>4</v>
      </c>
      <c r="D13" s="5">
        <v>48.84</v>
      </c>
      <c r="E13" s="1">
        <v>5</v>
      </c>
      <c r="F13" s="1">
        <f>InputData[[#This Row],[UNIT PRICE ($)]]*InputData[[#This Row],[QUANTITY]]</f>
        <v>244.20000000000002</v>
      </c>
      <c r="G13" s="1" t="str">
        <f>VLOOKUP(InputData[[#This Row],[CUSTOMER NAME]],Country[#All],2,0)</f>
        <v>United States of America</v>
      </c>
      <c r="H13" s="1" t="str">
        <f>VLOOKUP(InputData[[#This Row],[CUSTOMER NAME]],Country[#All],3,0)</f>
        <v>Export</v>
      </c>
      <c r="I13" s="1" t="str">
        <f>TEXT(InputData[[#This Row],[DATE]],"MMM")</f>
        <v>Jan</v>
      </c>
      <c r="J13" s="1">
        <f>WEEKNUM(InputData[[#This Row],[DATE]])</f>
        <v>2</v>
      </c>
    </row>
    <row r="14" spans="1:10" x14ac:dyDescent="0.25">
      <c r="A14" s="3">
        <v>44200</v>
      </c>
      <c r="B14" s="6" t="s">
        <v>109</v>
      </c>
      <c r="C14" s="4" t="s">
        <v>29</v>
      </c>
      <c r="D14" s="5">
        <v>53.11</v>
      </c>
      <c r="E14" s="1">
        <v>1</v>
      </c>
      <c r="F14" s="1">
        <f>InputData[[#This Row],[UNIT PRICE ($)]]*InputData[[#This Row],[QUANTITY]]</f>
        <v>53.11</v>
      </c>
      <c r="G14" s="1" t="str">
        <f>VLOOKUP(InputData[[#This Row],[CUSTOMER NAME]],Country[#All],2,0)</f>
        <v>Pakistan</v>
      </c>
      <c r="H14" s="1" t="str">
        <f>VLOOKUP(InputData[[#This Row],[CUSTOMER NAME]],Country[#All],3,0)</f>
        <v>Export</v>
      </c>
      <c r="I14" s="1" t="str">
        <f>TEXT(InputData[[#This Row],[DATE]],"MMM")</f>
        <v>Jan</v>
      </c>
      <c r="J14" s="1">
        <f>WEEKNUM(InputData[[#This Row],[DATE]])</f>
        <v>2</v>
      </c>
    </row>
    <row r="15" spans="1:10" x14ac:dyDescent="0.25">
      <c r="A15" s="3">
        <v>44200</v>
      </c>
      <c r="B15" s="6" t="s">
        <v>68</v>
      </c>
      <c r="C15" s="4" t="s">
        <v>12</v>
      </c>
      <c r="D15" s="5">
        <v>94.17</v>
      </c>
      <c r="E15" s="1">
        <v>8</v>
      </c>
      <c r="F15" s="1">
        <f>InputData[[#This Row],[UNIT PRICE ($)]]*InputData[[#This Row],[QUANTITY]]</f>
        <v>753.36</v>
      </c>
      <c r="G15" s="1" t="str">
        <f>VLOOKUP(InputData[[#This Row],[CUSTOMER NAME]],Country[#All],2,0)</f>
        <v>Russia</v>
      </c>
      <c r="H15" s="1" t="str">
        <f>VLOOKUP(InputData[[#This Row],[CUSTOMER NAME]],Country[#All],3,0)</f>
        <v>Export</v>
      </c>
      <c r="I15" s="1" t="str">
        <f>TEXT(InputData[[#This Row],[DATE]],"MMM")</f>
        <v>Jan</v>
      </c>
      <c r="J15" s="1">
        <f>WEEKNUM(InputData[[#This Row],[DATE]])</f>
        <v>2</v>
      </c>
    </row>
    <row r="16" spans="1:10" x14ac:dyDescent="0.25">
      <c r="A16" s="3">
        <v>44200</v>
      </c>
      <c r="B16" s="6" t="s">
        <v>85</v>
      </c>
      <c r="C16" s="4" t="s">
        <v>35</v>
      </c>
      <c r="D16" s="5">
        <v>6.7</v>
      </c>
      <c r="E16" s="1">
        <v>12</v>
      </c>
      <c r="F16" s="1">
        <f>InputData[[#This Row],[UNIT PRICE ($)]]*InputData[[#This Row],[QUANTITY]]</f>
        <v>80.400000000000006</v>
      </c>
      <c r="G16" s="1" t="str">
        <f>VLOOKUP(InputData[[#This Row],[CUSTOMER NAME]],Country[#All],2,0)</f>
        <v>India</v>
      </c>
      <c r="H16" s="1" t="str">
        <f>VLOOKUP(InputData[[#This Row],[CUSTOMER NAME]],Country[#All],3,0)</f>
        <v>Northeast</v>
      </c>
      <c r="I16" s="1" t="str">
        <f>TEXT(InputData[[#This Row],[DATE]],"MMM")</f>
        <v>Jan</v>
      </c>
      <c r="J16" s="1">
        <f>WEEKNUM(InputData[[#This Row],[DATE]])</f>
        <v>2</v>
      </c>
    </row>
    <row r="17" spans="1:10" x14ac:dyDescent="0.25">
      <c r="A17" s="3">
        <v>44202</v>
      </c>
      <c r="B17" s="6" t="s">
        <v>65</v>
      </c>
      <c r="C17" s="4" t="s">
        <v>32</v>
      </c>
      <c r="D17" s="5">
        <v>117.48</v>
      </c>
      <c r="E17" s="1">
        <v>9</v>
      </c>
      <c r="F17" s="1">
        <f>InputData[[#This Row],[UNIT PRICE ($)]]*InputData[[#This Row],[QUANTITY]]</f>
        <v>1057.32</v>
      </c>
      <c r="G17" s="1" t="str">
        <f>VLOOKUP(InputData[[#This Row],[CUSTOMER NAME]],Country[#All],2,0)</f>
        <v>Pakistan</v>
      </c>
      <c r="H17" s="1" t="str">
        <f>VLOOKUP(InputData[[#This Row],[CUSTOMER NAME]],Country[#All],3,0)</f>
        <v>Export</v>
      </c>
      <c r="I17" s="1" t="str">
        <f>TEXT(InputData[[#This Row],[DATE]],"MMM")</f>
        <v>Jan</v>
      </c>
      <c r="J17" s="1">
        <f>WEEKNUM(InputData[[#This Row],[DATE]])</f>
        <v>2</v>
      </c>
    </row>
    <row r="18" spans="1:10" x14ac:dyDescent="0.25">
      <c r="A18" s="3">
        <v>44204</v>
      </c>
      <c r="B18" s="6" t="s">
        <v>68</v>
      </c>
      <c r="C18" s="4" t="s">
        <v>19</v>
      </c>
      <c r="D18" s="5">
        <v>210</v>
      </c>
      <c r="E18" s="1">
        <v>14</v>
      </c>
      <c r="F18" s="1">
        <f>InputData[[#This Row],[UNIT PRICE ($)]]*InputData[[#This Row],[QUANTITY]]</f>
        <v>2940</v>
      </c>
      <c r="G18" s="1" t="str">
        <f>VLOOKUP(InputData[[#This Row],[CUSTOMER NAME]],Country[#All],2,0)</f>
        <v>Russia</v>
      </c>
      <c r="H18" s="1" t="str">
        <f>VLOOKUP(InputData[[#This Row],[CUSTOMER NAME]],Country[#All],3,0)</f>
        <v>Export</v>
      </c>
      <c r="I18" s="1" t="str">
        <f>TEXT(InputData[[#This Row],[DATE]],"MMM")</f>
        <v>Jan</v>
      </c>
      <c r="J18" s="1">
        <f>WEEKNUM(InputData[[#This Row],[DATE]])</f>
        <v>2</v>
      </c>
    </row>
    <row r="19" spans="1:10" x14ac:dyDescent="0.25">
      <c r="A19" s="3">
        <v>44205</v>
      </c>
      <c r="B19" s="6" t="s">
        <v>60</v>
      </c>
      <c r="C19" s="4" t="s">
        <v>7</v>
      </c>
      <c r="D19" s="5">
        <v>47.730000000000004</v>
      </c>
      <c r="E19" s="1">
        <v>26</v>
      </c>
      <c r="F19" s="1">
        <f>InputData[[#This Row],[UNIT PRICE ($)]]*InputData[[#This Row],[QUANTITY]]</f>
        <v>1240.98</v>
      </c>
      <c r="G19" s="1" t="str">
        <f>VLOOKUP(InputData[[#This Row],[CUSTOMER NAME]],Country[#All],2,0)</f>
        <v>Nigeria</v>
      </c>
      <c r="H19" s="1" t="str">
        <f>VLOOKUP(InputData[[#This Row],[CUSTOMER NAME]],Country[#All],3,0)</f>
        <v>Export</v>
      </c>
      <c r="I19" s="1" t="str">
        <f>TEXT(InputData[[#This Row],[DATE]],"MMM")</f>
        <v>Jan</v>
      </c>
      <c r="J19" s="1">
        <f>WEEKNUM(InputData[[#This Row],[DATE]])</f>
        <v>2</v>
      </c>
    </row>
    <row r="20" spans="1:10" x14ac:dyDescent="0.25">
      <c r="A20" s="3">
        <v>44205</v>
      </c>
      <c r="B20" s="6" t="s">
        <v>64</v>
      </c>
      <c r="C20" s="4" t="s">
        <v>31</v>
      </c>
      <c r="D20" s="5">
        <v>104.16</v>
      </c>
      <c r="E20" s="1">
        <v>1</v>
      </c>
      <c r="F20" s="1">
        <f>InputData[[#This Row],[UNIT PRICE ($)]]*InputData[[#This Row],[QUANTITY]]</f>
        <v>104.16</v>
      </c>
      <c r="G20" s="1" t="str">
        <f>VLOOKUP(InputData[[#This Row],[CUSTOMER NAME]],Country[#All],2,0)</f>
        <v>India</v>
      </c>
      <c r="H20" s="1" t="str">
        <f>VLOOKUP(InputData[[#This Row],[CUSTOMER NAME]],Country[#All],3,0)</f>
        <v>Northeast</v>
      </c>
      <c r="I20" s="1" t="str">
        <f>TEXT(InputData[[#This Row],[DATE]],"MMM")</f>
        <v>Jan</v>
      </c>
      <c r="J20" s="1">
        <f>WEEKNUM(InputData[[#This Row],[DATE]])</f>
        <v>2</v>
      </c>
    </row>
    <row r="21" spans="1:10" x14ac:dyDescent="0.25">
      <c r="A21" s="3">
        <v>44205</v>
      </c>
      <c r="B21" s="6" t="s">
        <v>111</v>
      </c>
      <c r="C21" s="4" t="s">
        <v>25</v>
      </c>
      <c r="D21" s="5">
        <v>8.33</v>
      </c>
      <c r="E21" s="1">
        <v>4</v>
      </c>
      <c r="F21" s="1">
        <f>InputData[[#This Row],[UNIT PRICE ($)]]*InputData[[#This Row],[QUANTITY]]</f>
        <v>33.32</v>
      </c>
      <c r="G21" s="1" t="str">
        <f>VLOOKUP(InputData[[#This Row],[CUSTOMER NAME]],Country[#All],2,0)</f>
        <v>India</v>
      </c>
      <c r="H21" s="1" t="str">
        <f>VLOOKUP(InputData[[#This Row],[CUSTOMER NAME]],Country[#All],3,0)</f>
        <v>Northeast</v>
      </c>
      <c r="I21" s="1" t="str">
        <f>TEXT(InputData[[#This Row],[DATE]],"MMM")</f>
        <v>Jan</v>
      </c>
      <c r="J21" s="1">
        <f>WEEKNUM(InputData[[#This Row],[DATE]])</f>
        <v>2</v>
      </c>
    </row>
    <row r="22" spans="1:10" x14ac:dyDescent="0.25">
      <c r="A22" s="3">
        <v>44205</v>
      </c>
      <c r="B22" s="6" t="s">
        <v>75</v>
      </c>
      <c r="C22" s="4" t="s">
        <v>31</v>
      </c>
      <c r="D22" s="5">
        <v>104.16</v>
      </c>
      <c r="E22" s="1">
        <v>29</v>
      </c>
      <c r="F22" s="1">
        <f>InputData[[#This Row],[UNIT PRICE ($)]]*InputData[[#This Row],[QUANTITY]]</f>
        <v>3020.64</v>
      </c>
      <c r="G22" s="1" t="str">
        <f>VLOOKUP(InputData[[#This Row],[CUSTOMER NAME]],Country[#All],2,0)</f>
        <v>Russia</v>
      </c>
      <c r="H22" s="1" t="str">
        <f>VLOOKUP(InputData[[#This Row],[CUSTOMER NAME]],Country[#All],3,0)</f>
        <v>Export</v>
      </c>
      <c r="I22" s="1" t="str">
        <f>TEXT(InputData[[#This Row],[DATE]],"MMM")</f>
        <v>Jan</v>
      </c>
      <c r="J22" s="1">
        <f>WEEKNUM(InputData[[#This Row],[DATE]])</f>
        <v>2</v>
      </c>
    </row>
    <row r="23" spans="1:10" x14ac:dyDescent="0.25">
      <c r="A23" s="3">
        <v>44205</v>
      </c>
      <c r="B23" s="6" t="s">
        <v>78</v>
      </c>
      <c r="C23" s="4" t="s">
        <v>40</v>
      </c>
      <c r="D23" s="5">
        <v>115.2</v>
      </c>
      <c r="E23" s="1">
        <v>28</v>
      </c>
      <c r="F23" s="1">
        <f>InputData[[#This Row],[UNIT PRICE ($)]]*InputData[[#This Row],[QUANTITY]]</f>
        <v>3225.6</v>
      </c>
      <c r="G23" s="1" t="str">
        <f>VLOOKUP(InputData[[#This Row],[CUSTOMER NAME]],Country[#All],2,0)</f>
        <v>India</v>
      </c>
      <c r="H23" s="1" t="str">
        <f>VLOOKUP(InputData[[#This Row],[CUSTOMER NAME]],Country[#All],3,0)</f>
        <v>Central</v>
      </c>
      <c r="I23" s="1" t="str">
        <f>TEXT(InputData[[#This Row],[DATE]],"MMM")</f>
        <v>Jan</v>
      </c>
      <c r="J23" s="1">
        <f>WEEKNUM(InputData[[#This Row],[DATE]])</f>
        <v>2</v>
      </c>
    </row>
    <row r="24" spans="1:10" x14ac:dyDescent="0.25">
      <c r="A24" s="3">
        <v>44205</v>
      </c>
      <c r="B24" s="6" t="s">
        <v>79</v>
      </c>
      <c r="C24" s="4" t="s">
        <v>3</v>
      </c>
      <c r="D24" s="5">
        <v>80.94</v>
      </c>
      <c r="E24" s="1">
        <v>8</v>
      </c>
      <c r="F24" s="1">
        <f>InputData[[#This Row],[UNIT PRICE ($)]]*InputData[[#This Row],[QUANTITY]]</f>
        <v>647.52</v>
      </c>
      <c r="G24" s="1" t="str">
        <f>VLOOKUP(InputData[[#This Row],[CUSTOMER NAME]],Country[#All],2,0)</f>
        <v>United Kingdom</v>
      </c>
      <c r="H24" s="1" t="str">
        <f>VLOOKUP(InputData[[#This Row],[CUSTOMER NAME]],Country[#All],3,0)</f>
        <v>Export</v>
      </c>
      <c r="I24" s="1" t="str">
        <f>TEXT(InputData[[#This Row],[DATE]],"MMM")</f>
        <v>Jan</v>
      </c>
      <c r="J24" s="1">
        <f>WEEKNUM(InputData[[#This Row],[DATE]])</f>
        <v>2</v>
      </c>
    </row>
    <row r="25" spans="1:10" x14ac:dyDescent="0.25">
      <c r="A25" s="3">
        <v>44205</v>
      </c>
      <c r="B25" s="6" t="s">
        <v>113</v>
      </c>
      <c r="C25" s="4" t="s">
        <v>32</v>
      </c>
      <c r="D25" s="5">
        <v>117.48</v>
      </c>
      <c r="E25" s="1">
        <v>12</v>
      </c>
      <c r="F25" s="1">
        <f>InputData[[#This Row],[UNIT PRICE ($)]]*InputData[[#This Row],[QUANTITY]]</f>
        <v>1409.76</v>
      </c>
      <c r="G25" s="1" t="str">
        <f>VLOOKUP(InputData[[#This Row],[CUSTOMER NAME]],Country[#All],2,0)</f>
        <v>Pakistan</v>
      </c>
      <c r="H25" s="1" t="str">
        <f>VLOOKUP(InputData[[#This Row],[CUSTOMER NAME]],Country[#All],3,0)</f>
        <v>Export</v>
      </c>
      <c r="I25" s="1" t="str">
        <f>TEXT(InputData[[#This Row],[DATE]],"MMM")</f>
        <v>Jan</v>
      </c>
      <c r="J25" s="1">
        <f>WEEKNUM(InputData[[#This Row],[DATE]])</f>
        <v>2</v>
      </c>
    </row>
    <row r="26" spans="1:10" x14ac:dyDescent="0.25">
      <c r="A26" s="3">
        <v>44206</v>
      </c>
      <c r="B26" s="6" t="s">
        <v>62</v>
      </c>
      <c r="C26" s="4" t="s">
        <v>2</v>
      </c>
      <c r="D26" s="5">
        <v>142.80000000000001</v>
      </c>
      <c r="E26" s="1">
        <v>24</v>
      </c>
      <c r="F26" s="1">
        <f>InputData[[#This Row],[UNIT PRICE ($)]]*InputData[[#This Row],[QUANTITY]]</f>
        <v>3427.2000000000003</v>
      </c>
      <c r="G26" s="1" t="str">
        <f>VLOOKUP(InputData[[#This Row],[CUSTOMER NAME]],Country[#All],2,0)</f>
        <v>India</v>
      </c>
      <c r="H26" s="1" t="str">
        <f>VLOOKUP(InputData[[#This Row],[CUSTOMER NAME]],Country[#All],3,0)</f>
        <v>Northeast</v>
      </c>
      <c r="I26" s="1" t="str">
        <f>TEXT(InputData[[#This Row],[DATE]],"MMM")</f>
        <v>Jan</v>
      </c>
      <c r="J26" s="1">
        <f>WEEKNUM(InputData[[#This Row],[DATE]])</f>
        <v>3</v>
      </c>
    </row>
    <row r="27" spans="1:10" x14ac:dyDescent="0.25">
      <c r="A27" s="3">
        <v>44206</v>
      </c>
      <c r="B27" s="6" t="s">
        <v>80</v>
      </c>
      <c r="C27" s="4" t="s">
        <v>34</v>
      </c>
      <c r="D27" s="5">
        <v>58.3</v>
      </c>
      <c r="E27" s="1">
        <v>14</v>
      </c>
      <c r="F27" s="1">
        <f>InputData[[#This Row],[UNIT PRICE ($)]]*InputData[[#This Row],[QUANTITY]]</f>
        <v>816.19999999999993</v>
      </c>
      <c r="G27" s="1" t="str">
        <f>VLOOKUP(InputData[[#This Row],[CUSTOMER NAME]],Country[#All],2,0)</f>
        <v>South Africa</v>
      </c>
      <c r="H27" s="1" t="str">
        <f>VLOOKUP(InputData[[#This Row],[CUSTOMER NAME]],Country[#All],3,0)</f>
        <v>Export</v>
      </c>
      <c r="I27" s="1" t="str">
        <f>TEXT(InputData[[#This Row],[DATE]],"MMM")</f>
        <v>Jan</v>
      </c>
      <c r="J27" s="1">
        <f>WEEKNUM(InputData[[#This Row],[DATE]])</f>
        <v>3</v>
      </c>
    </row>
    <row r="28" spans="1:10" x14ac:dyDescent="0.25">
      <c r="A28" s="3">
        <v>44206</v>
      </c>
      <c r="B28" s="6" t="s">
        <v>113</v>
      </c>
      <c r="C28" s="4" t="s">
        <v>35</v>
      </c>
      <c r="D28" s="5">
        <v>6.7</v>
      </c>
      <c r="E28" s="1">
        <v>9</v>
      </c>
      <c r="F28" s="1">
        <f>InputData[[#This Row],[UNIT PRICE ($)]]*InputData[[#This Row],[QUANTITY]]</f>
        <v>60.300000000000004</v>
      </c>
      <c r="G28" s="1" t="str">
        <f>VLOOKUP(InputData[[#This Row],[CUSTOMER NAME]],Country[#All],2,0)</f>
        <v>Pakistan</v>
      </c>
      <c r="H28" s="1" t="str">
        <f>VLOOKUP(InputData[[#This Row],[CUSTOMER NAME]],Country[#All],3,0)</f>
        <v>Export</v>
      </c>
      <c r="I28" s="1" t="str">
        <f>TEXT(InputData[[#This Row],[DATE]],"MMM")</f>
        <v>Jan</v>
      </c>
      <c r="J28" s="1">
        <f>WEEKNUM(InputData[[#This Row],[DATE]])</f>
        <v>3</v>
      </c>
    </row>
    <row r="29" spans="1:10" x14ac:dyDescent="0.25">
      <c r="A29" s="3">
        <v>44207</v>
      </c>
      <c r="B29" s="6" t="s">
        <v>62</v>
      </c>
      <c r="C29" s="4" t="s">
        <v>37</v>
      </c>
      <c r="D29" s="5">
        <v>85.76</v>
      </c>
      <c r="E29" s="1">
        <v>3</v>
      </c>
      <c r="F29" s="1">
        <f>InputData[[#This Row],[UNIT PRICE ($)]]*InputData[[#This Row],[QUANTITY]]</f>
        <v>257.28000000000003</v>
      </c>
      <c r="G29" s="1" t="str">
        <f>VLOOKUP(InputData[[#This Row],[CUSTOMER NAME]],Country[#All],2,0)</f>
        <v>India</v>
      </c>
      <c r="H29" s="1" t="str">
        <f>VLOOKUP(InputData[[#This Row],[CUSTOMER NAME]],Country[#All],3,0)</f>
        <v>Northeast</v>
      </c>
      <c r="I29" s="1" t="str">
        <f>TEXT(InputData[[#This Row],[DATE]],"MMM")</f>
        <v>Jan</v>
      </c>
      <c r="J29" s="1">
        <f>WEEKNUM(InputData[[#This Row],[DATE]])</f>
        <v>3</v>
      </c>
    </row>
    <row r="30" spans="1:10" x14ac:dyDescent="0.25">
      <c r="A30" s="3">
        <v>44207</v>
      </c>
      <c r="B30" s="6" t="s">
        <v>70</v>
      </c>
      <c r="C30" s="4" t="s">
        <v>14</v>
      </c>
      <c r="D30" s="5">
        <v>146.72</v>
      </c>
      <c r="E30" s="1">
        <v>4</v>
      </c>
      <c r="F30" s="1">
        <f>InputData[[#This Row],[UNIT PRICE ($)]]*InputData[[#This Row],[QUANTITY]]</f>
        <v>586.88</v>
      </c>
      <c r="G30" s="1" t="str">
        <f>VLOOKUP(InputData[[#This Row],[CUSTOMER NAME]],Country[#All],2,0)</f>
        <v>Mexico</v>
      </c>
      <c r="H30" s="1" t="str">
        <f>VLOOKUP(InputData[[#This Row],[CUSTOMER NAME]],Country[#All],3,0)</f>
        <v>Export</v>
      </c>
      <c r="I30" s="1" t="str">
        <f>TEXT(InputData[[#This Row],[DATE]],"MMM")</f>
        <v>Jan</v>
      </c>
      <c r="J30" s="1">
        <f>WEEKNUM(InputData[[#This Row],[DATE]])</f>
        <v>3</v>
      </c>
    </row>
    <row r="31" spans="1:10" x14ac:dyDescent="0.25">
      <c r="A31" s="3">
        <v>44207</v>
      </c>
      <c r="B31" s="6" t="s">
        <v>111</v>
      </c>
      <c r="C31" s="4" t="s">
        <v>11</v>
      </c>
      <c r="D31" s="5">
        <v>48.4</v>
      </c>
      <c r="E31" s="1">
        <v>14</v>
      </c>
      <c r="F31" s="1">
        <f>InputData[[#This Row],[UNIT PRICE ($)]]*InputData[[#This Row],[QUANTITY]]</f>
        <v>677.6</v>
      </c>
      <c r="G31" s="1" t="str">
        <f>VLOOKUP(InputData[[#This Row],[CUSTOMER NAME]],Country[#All],2,0)</f>
        <v>India</v>
      </c>
      <c r="H31" s="1" t="str">
        <f>VLOOKUP(InputData[[#This Row],[CUSTOMER NAME]],Country[#All],3,0)</f>
        <v>Northeast</v>
      </c>
      <c r="I31" s="1" t="str">
        <f>TEXT(InputData[[#This Row],[DATE]],"MMM")</f>
        <v>Jan</v>
      </c>
      <c r="J31" s="1">
        <f>WEEKNUM(InputData[[#This Row],[DATE]])</f>
        <v>3</v>
      </c>
    </row>
    <row r="32" spans="1:10" x14ac:dyDescent="0.25">
      <c r="A32" s="3">
        <v>44207</v>
      </c>
      <c r="B32" s="6" t="s">
        <v>76</v>
      </c>
      <c r="C32" s="4" t="s">
        <v>42</v>
      </c>
      <c r="D32" s="5">
        <v>162</v>
      </c>
      <c r="E32" s="1">
        <v>4</v>
      </c>
      <c r="F32" s="1">
        <f>InputData[[#This Row],[UNIT PRICE ($)]]*InputData[[#This Row],[QUANTITY]]</f>
        <v>648</v>
      </c>
      <c r="G32" s="1" t="str">
        <f>VLOOKUP(InputData[[#This Row],[CUSTOMER NAME]],Country[#All],2,0)</f>
        <v>Saudi Arabia</v>
      </c>
      <c r="H32" s="1" t="str">
        <f>VLOOKUP(InputData[[#This Row],[CUSTOMER NAME]],Country[#All],3,0)</f>
        <v>Export</v>
      </c>
      <c r="I32" s="1" t="str">
        <f>TEXT(InputData[[#This Row],[DATE]],"MMM")</f>
        <v>Jan</v>
      </c>
      <c r="J32" s="1">
        <f>WEEKNUM(InputData[[#This Row],[DATE]])</f>
        <v>3</v>
      </c>
    </row>
    <row r="33" spans="1:10" x14ac:dyDescent="0.25">
      <c r="A33" s="3">
        <v>44207</v>
      </c>
      <c r="B33" s="6" t="s">
        <v>79</v>
      </c>
      <c r="C33" s="4" t="s">
        <v>32</v>
      </c>
      <c r="D33" s="5">
        <v>117.48</v>
      </c>
      <c r="E33" s="1">
        <v>2</v>
      </c>
      <c r="F33" s="1">
        <f>InputData[[#This Row],[UNIT PRICE ($)]]*InputData[[#This Row],[QUANTITY]]</f>
        <v>234.96</v>
      </c>
      <c r="G33" s="1" t="str">
        <f>VLOOKUP(InputData[[#This Row],[CUSTOMER NAME]],Country[#All],2,0)</f>
        <v>United Kingdom</v>
      </c>
      <c r="H33" s="1" t="str">
        <f>VLOOKUP(InputData[[#This Row],[CUSTOMER NAME]],Country[#All],3,0)</f>
        <v>Export</v>
      </c>
      <c r="I33" s="1" t="str">
        <f>TEXT(InputData[[#This Row],[DATE]],"MMM")</f>
        <v>Jan</v>
      </c>
      <c r="J33" s="1">
        <f>WEEKNUM(InputData[[#This Row],[DATE]])</f>
        <v>3</v>
      </c>
    </row>
    <row r="34" spans="1:10" x14ac:dyDescent="0.25">
      <c r="A34" s="3">
        <v>44208</v>
      </c>
      <c r="B34" s="6" t="s">
        <v>64</v>
      </c>
      <c r="C34" s="4" t="s">
        <v>42</v>
      </c>
      <c r="D34" s="5">
        <v>162</v>
      </c>
      <c r="E34" s="1">
        <v>10</v>
      </c>
      <c r="F34" s="1">
        <f>InputData[[#This Row],[UNIT PRICE ($)]]*InputData[[#This Row],[QUANTITY]]</f>
        <v>1620</v>
      </c>
      <c r="G34" s="1" t="str">
        <f>VLOOKUP(InputData[[#This Row],[CUSTOMER NAME]],Country[#All],2,0)</f>
        <v>India</v>
      </c>
      <c r="H34" s="1" t="str">
        <f>VLOOKUP(InputData[[#This Row],[CUSTOMER NAME]],Country[#All],3,0)</f>
        <v>Northeast</v>
      </c>
      <c r="I34" s="1" t="str">
        <f>TEXT(InputData[[#This Row],[DATE]],"MMM")</f>
        <v>Jan</v>
      </c>
      <c r="J34" s="1">
        <f>WEEKNUM(InputData[[#This Row],[DATE]])</f>
        <v>3</v>
      </c>
    </row>
    <row r="35" spans="1:10" x14ac:dyDescent="0.25">
      <c r="A35" s="3">
        <v>44209</v>
      </c>
      <c r="B35" s="6" t="s">
        <v>108</v>
      </c>
      <c r="C35" s="4" t="s">
        <v>16</v>
      </c>
      <c r="D35" s="5">
        <v>16.64</v>
      </c>
      <c r="E35" s="1">
        <v>15</v>
      </c>
      <c r="F35" s="1">
        <f>InputData[[#This Row],[UNIT PRICE ($)]]*InputData[[#This Row],[QUANTITY]]</f>
        <v>249.60000000000002</v>
      </c>
      <c r="G35" s="1" t="str">
        <f>VLOOKUP(InputData[[#This Row],[CUSTOMER NAME]],Country[#All],2,0)</f>
        <v>India</v>
      </c>
      <c r="H35" s="1" t="str">
        <f>VLOOKUP(InputData[[#This Row],[CUSTOMER NAME]],Country[#All],3,0)</f>
        <v>North</v>
      </c>
      <c r="I35" s="1" t="str">
        <f>TEXT(InputData[[#This Row],[DATE]],"MMM")</f>
        <v>Jan</v>
      </c>
      <c r="J35" s="1">
        <f>WEEKNUM(InputData[[#This Row],[DATE]])</f>
        <v>3</v>
      </c>
    </row>
    <row r="36" spans="1:10" x14ac:dyDescent="0.25">
      <c r="A36" s="3">
        <v>44209</v>
      </c>
      <c r="B36" s="6" t="s">
        <v>65</v>
      </c>
      <c r="C36" s="4" t="s">
        <v>19</v>
      </c>
      <c r="D36" s="5">
        <v>210</v>
      </c>
      <c r="E36" s="1">
        <v>6</v>
      </c>
      <c r="F36" s="1">
        <f>InputData[[#This Row],[UNIT PRICE ($)]]*InputData[[#This Row],[QUANTITY]]</f>
        <v>1260</v>
      </c>
      <c r="G36" s="1" t="str">
        <f>VLOOKUP(InputData[[#This Row],[CUSTOMER NAME]],Country[#All],2,0)</f>
        <v>Pakistan</v>
      </c>
      <c r="H36" s="1" t="str">
        <f>VLOOKUP(InputData[[#This Row],[CUSTOMER NAME]],Country[#All],3,0)</f>
        <v>Export</v>
      </c>
      <c r="I36" s="1" t="str">
        <f>TEXT(InputData[[#This Row],[DATE]],"MMM")</f>
        <v>Jan</v>
      </c>
      <c r="J36" s="1">
        <f>WEEKNUM(InputData[[#This Row],[DATE]])</f>
        <v>3</v>
      </c>
    </row>
    <row r="37" spans="1:10" x14ac:dyDescent="0.25">
      <c r="A37" s="3">
        <v>44210</v>
      </c>
      <c r="B37" s="6" t="s">
        <v>115</v>
      </c>
      <c r="C37" s="4" t="s">
        <v>11</v>
      </c>
      <c r="D37" s="5">
        <v>48.4</v>
      </c>
      <c r="E37" s="1">
        <v>14</v>
      </c>
      <c r="F37" s="1">
        <f>InputData[[#This Row],[UNIT PRICE ($)]]*InputData[[#This Row],[QUANTITY]]</f>
        <v>677.6</v>
      </c>
      <c r="G37" s="1" t="str">
        <f>VLOOKUP(InputData[[#This Row],[CUSTOMER NAME]],Country[#All],2,0)</f>
        <v>India</v>
      </c>
      <c r="H37" s="1" t="str">
        <f>VLOOKUP(InputData[[#This Row],[CUSTOMER NAME]],Country[#All],3,0)</f>
        <v>Northeast</v>
      </c>
      <c r="I37" s="1" t="str">
        <f>TEXT(InputData[[#This Row],[DATE]],"MMM")</f>
        <v>Jan</v>
      </c>
      <c r="J37" s="1">
        <f>WEEKNUM(InputData[[#This Row],[DATE]])</f>
        <v>3</v>
      </c>
    </row>
    <row r="38" spans="1:10" x14ac:dyDescent="0.25">
      <c r="A38" s="3">
        <v>44211</v>
      </c>
      <c r="B38" s="6" t="s">
        <v>73</v>
      </c>
      <c r="C38" s="4" t="s">
        <v>7</v>
      </c>
      <c r="D38" s="5">
        <v>47.730000000000004</v>
      </c>
      <c r="E38" s="1">
        <v>15</v>
      </c>
      <c r="F38" s="1">
        <f>InputData[[#This Row],[UNIT PRICE ($)]]*InputData[[#This Row],[QUANTITY]]</f>
        <v>715.95</v>
      </c>
      <c r="G38" s="1" t="str">
        <f>VLOOKUP(InputData[[#This Row],[CUSTOMER NAME]],Country[#All],2,0)</f>
        <v>India</v>
      </c>
      <c r="H38" s="1" t="str">
        <f>VLOOKUP(InputData[[#This Row],[CUSTOMER NAME]],Country[#All],3,0)</f>
        <v>East</v>
      </c>
      <c r="I38" s="1" t="str">
        <f>TEXT(InputData[[#This Row],[DATE]],"MMM")</f>
        <v>Jan</v>
      </c>
      <c r="J38" s="1">
        <f>WEEKNUM(InputData[[#This Row],[DATE]])</f>
        <v>3</v>
      </c>
    </row>
    <row r="39" spans="1:10" x14ac:dyDescent="0.25">
      <c r="A39" s="3">
        <v>44211</v>
      </c>
      <c r="B39" s="6" t="s">
        <v>79</v>
      </c>
      <c r="C39" s="4" t="s">
        <v>22</v>
      </c>
      <c r="D39" s="5">
        <v>141.57</v>
      </c>
      <c r="E39" s="1">
        <v>10</v>
      </c>
      <c r="F39" s="1">
        <f>InputData[[#This Row],[UNIT PRICE ($)]]*InputData[[#This Row],[QUANTITY]]</f>
        <v>1415.6999999999998</v>
      </c>
      <c r="G39" s="1" t="str">
        <f>VLOOKUP(InputData[[#This Row],[CUSTOMER NAME]],Country[#All],2,0)</f>
        <v>United Kingdom</v>
      </c>
      <c r="H39" s="1" t="str">
        <f>VLOOKUP(InputData[[#This Row],[CUSTOMER NAME]],Country[#All],3,0)</f>
        <v>Export</v>
      </c>
      <c r="I39" s="1" t="str">
        <f>TEXT(InputData[[#This Row],[DATE]],"MMM")</f>
        <v>Jan</v>
      </c>
      <c r="J39" s="1">
        <f>WEEKNUM(InputData[[#This Row],[DATE]])</f>
        <v>3</v>
      </c>
    </row>
    <row r="40" spans="1:10" x14ac:dyDescent="0.25">
      <c r="A40" s="3">
        <v>44212</v>
      </c>
      <c r="B40" s="6" t="s">
        <v>109</v>
      </c>
      <c r="C40" s="4" t="s">
        <v>14</v>
      </c>
      <c r="D40" s="5">
        <v>146.72</v>
      </c>
      <c r="E40" s="1">
        <v>11</v>
      </c>
      <c r="F40" s="1">
        <f>InputData[[#This Row],[UNIT PRICE ($)]]*InputData[[#This Row],[QUANTITY]]</f>
        <v>1613.92</v>
      </c>
      <c r="G40" s="1" t="str">
        <f>VLOOKUP(InputData[[#This Row],[CUSTOMER NAME]],Country[#All],2,0)</f>
        <v>Pakistan</v>
      </c>
      <c r="H40" s="1" t="str">
        <f>VLOOKUP(InputData[[#This Row],[CUSTOMER NAME]],Country[#All],3,0)</f>
        <v>Export</v>
      </c>
      <c r="I40" s="1" t="str">
        <f>TEXT(InputData[[#This Row],[DATE]],"MMM")</f>
        <v>Jan</v>
      </c>
      <c r="J40" s="1">
        <f>WEEKNUM(InputData[[#This Row],[DATE]])</f>
        <v>3</v>
      </c>
    </row>
    <row r="41" spans="1:10" x14ac:dyDescent="0.25">
      <c r="A41" s="3">
        <v>44213</v>
      </c>
      <c r="B41" s="6" t="s">
        <v>67</v>
      </c>
      <c r="C41" s="4" t="s">
        <v>40</v>
      </c>
      <c r="D41" s="5">
        <v>115.2</v>
      </c>
      <c r="E41" s="1">
        <v>4</v>
      </c>
      <c r="F41" s="1">
        <f>InputData[[#This Row],[UNIT PRICE ($)]]*InputData[[#This Row],[QUANTITY]]</f>
        <v>460.8</v>
      </c>
      <c r="G41" s="1" t="str">
        <f>VLOOKUP(InputData[[#This Row],[CUSTOMER NAME]],Country[#All],2,0)</f>
        <v>United Kingdom</v>
      </c>
      <c r="H41" s="1" t="str">
        <f>VLOOKUP(InputData[[#This Row],[CUSTOMER NAME]],Country[#All],3,0)</f>
        <v>Export</v>
      </c>
      <c r="I41" s="1" t="str">
        <f>TEXT(InputData[[#This Row],[DATE]],"MMM")</f>
        <v>Jan</v>
      </c>
      <c r="J41" s="1">
        <f>WEEKNUM(InputData[[#This Row],[DATE]])</f>
        <v>4</v>
      </c>
    </row>
    <row r="42" spans="1:10" x14ac:dyDescent="0.25">
      <c r="A42" s="3">
        <v>44214</v>
      </c>
      <c r="B42" s="6" t="s">
        <v>65</v>
      </c>
      <c r="C42" s="4" t="s">
        <v>8</v>
      </c>
      <c r="D42" s="5">
        <v>94.62</v>
      </c>
      <c r="E42" s="1">
        <v>9</v>
      </c>
      <c r="F42" s="1">
        <f>InputData[[#This Row],[UNIT PRICE ($)]]*InputData[[#This Row],[QUANTITY]]</f>
        <v>851.58</v>
      </c>
      <c r="G42" s="1" t="str">
        <f>VLOOKUP(InputData[[#This Row],[CUSTOMER NAME]],Country[#All],2,0)</f>
        <v>Pakistan</v>
      </c>
      <c r="H42" s="1" t="str">
        <f>VLOOKUP(InputData[[#This Row],[CUSTOMER NAME]],Country[#All],3,0)</f>
        <v>Export</v>
      </c>
      <c r="I42" s="1" t="str">
        <f>TEXT(InputData[[#This Row],[DATE]],"MMM")</f>
        <v>Jan</v>
      </c>
      <c r="J42" s="1">
        <f>WEEKNUM(InputData[[#This Row],[DATE]])</f>
        <v>4</v>
      </c>
    </row>
    <row r="43" spans="1:10" x14ac:dyDescent="0.25">
      <c r="A43" s="3">
        <v>44214</v>
      </c>
      <c r="B43" s="6" t="s">
        <v>78</v>
      </c>
      <c r="C43" s="4" t="s">
        <v>23</v>
      </c>
      <c r="D43" s="5">
        <v>149.46</v>
      </c>
      <c r="E43" s="1">
        <v>3</v>
      </c>
      <c r="F43" s="1">
        <f>InputData[[#This Row],[UNIT PRICE ($)]]*InputData[[#This Row],[QUANTITY]]</f>
        <v>448.38</v>
      </c>
      <c r="G43" s="1" t="str">
        <f>VLOOKUP(InputData[[#This Row],[CUSTOMER NAME]],Country[#All],2,0)</f>
        <v>India</v>
      </c>
      <c r="H43" s="1" t="str">
        <f>VLOOKUP(InputData[[#This Row],[CUSTOMER NAME]],Country[#All],3,0)</f>
        <v>Central</v>
      </c>
      <c r="I43" s="1" t="str">
        <f>TEXT(InputData[[#This Row],[DATE]],"MMM")</f>
        <v>Jan</v>
      </c>
      <c r="J43" s="1">
        <f>WEEKNUM(InputData[[#This Row],[DATE]])</f>
        <v>4</v>
      </c>
    </row>
    <row r="44" spans="1:10" x14ac:dyDescent="0.25">
      <c r="A44" s="3">
        <v>44214</v>
      </c>
      <c r="B44" s="6" t="s">
        <v>83</v>
      </c>
      <c r="C44" s="4" t="s">
        <v>44</v>
      </c>
      <c r="D44" s="5">
        <v>82.08</v>
      </c>
      <c r="E44" s="1">
        <v>13</v>
      </c>
      <c r="F44" s="1">
        <f>InputData[[#This Row],[UNIT PRICE ($)]]*InputData[[#This Row],[QUANTITY]]</f>
        <v>1067.04</v>
      </c>
      <c r="G44" s="1" t="str">
        <f>VLOOKUP(InputData[[#This Row],[CUSTOMER NAME]],Country[#All],2,0)</f>
        <v>India</v>
      </c>
      <c r="H44" s="1" t="str">
        <f>VLOOKUP(InputData[[#This Row],[CUSTOMER NAME]],Country[#All],3,0)</f>
        <v>North</v>
      </c>
      <c r="I44" s="1" t="str">
        <f>TEXT(InputData[[#This Row],[DATE]],"MMM")</f>
        <v>Jan</v>
      </c>
      <c r="J44" s="1">
        <f>WEEKNUM(InputData[[#This Row],[DATE]])</f>
        <v>4</v>
      </c>
    </row>
    <row r="45" spans="1:10" x14ac:dyDescent="0.25">
      <c r="A45" s="3">
        <v>44215</v>
      </c>
      <c r="B45" s="6" t="s">
        <v>79</v>
      </c>
      <c r="C45" s="4" t="s">
        <v>35</v>
      </c>
      <c r="D45" s="5">
        <v>6.7</v>
      </c>
      <c r="E45" s="1">
        <v>6</v>
      </c>
      <c r="F45" s="1">
        <f>InputData[[#This Row],[UNIT PRICE ($)]]*InputData[[#This Row],[QUANTITY]]</f>
        <v>40.200000000000003</v>
      </c>
      <c r="G45" s="1" t="str">
        <f>VLOOKUP(InputData[[#This Row],[CUSTOMER NAME]],Country[#All],2,0)</f>
        <v>United Kingdom</v>
      </c>
      <c r="H45" s="1" t="str">
        <f>VLOOKUP(InputData[[#This Row],[CUSTOMER NAME]],Country[#All],3,0)</f>
        <v>Export</v>
      </c>
      <c r="I45" s="1" t="str">
        <f>TEXT(InputData[[#This Row],[DATE]],"MMM")</f>
        <v>Jan</v>
      </c>
      <c r="J45" s="1">
        <f>WEEKNUM(InputData[[#This Row],[DATE]])</f>
        <v>4</v>
      </c>
    </row>
    <row r="46" spans="1:10" x14ac:dyDescent="0.25">
      <c r="A46" s="3">
        <v>44216</v>
      </c>
      <c r="B46" s="6" t="s">
        <v>68</v>
      </c>
      <c r="C46" s="4" t="s">
        <v>34</v>
      </c>
      <c r="D46" s="5">
        <v>58.3</v>
      </c>
      <c r="E46" s="1">
        <v>4</v>
      </c>
      <c r="F46" s="1">
        <f>InputData[[#This Row],[UNIT PRICE ($)]]*InputData[[#This Row],[QUANTITY]]</f>
        <v>233.2</v>
      </c>
      <c r="G46" s="1" t="str">
        <f>VLOOKUP(InputData[[#This Row],[CUSTOMER NAME]],Country[#All],2,0)</f>
        <v>Russia</v>
      </c>
      <c r="H46" s="1" t="str">
        <f>VLOOKUP(InputData[[#This Row],[CUSTOMER NAME]],Country[#All],3,0)</f>
        <v>Export</v>
      </c>
      <c r="I46" s="1" t="str">
        <f>TEXT(InputData[[#This Row],[DATE]],"MMM")</f>
        <v>Jan</v>
      </c>
      <c r="J46" s="1">
        <f>WEEKNUM(InputData[[#This Row],[DATE]])</f>
        <v>4</v>
      </c>
    </row>
    <row r="47" spans="1:10" x14ac:dyDescent="0.25">
      <c r="A47" s="3">
        <v>44216</v>
      </c>
      <c r="B47" s="6" t="s">
        <v>112</v>
      </c>
      <c r="C47" s="4" t="s">
        <v>20</v>
      </c>
      <c r="D47" s="5">
        <v>76.25</v>
      </c>
      <c r="E47" s="1">
        <v>4</v>
      </c>
      <c r="F47" s="1">
        <f>InputData[[#This Row],[UNIT PRICE ($)]]*InputData[[#This Row],[QUANTITY]]</f>
        <v>305</v>
      </c>
      <c r="G47" s="1" t="str">
        <f>VLOOKUP(InputData[[#This Row],[CUSTOMER NAME]],Country[#All],2,0)</f>
        <v>India</v>
      </c>
      <c r="H47" s="1" t="str">
        <f>VLOOKUP(InputData[[#This Row],[CUSTOMER NAME]],Country[#All],3,0)</f>
        <v>North</v>
      </c>
      <c r="I47" s="1" t="str">
        <f>TEXT(InputData[[#This Row],[DATE]],"MMM")</f>
        <v>Jan</v>
      </c>
      <c r="J47" s="1">
        <f>WEEKNUM(InputData[[#This Row],[DATE]])</f>
        <v>4</v>
      </c>
    </row>
    <row r="48" spans="1:10" x14ac:dyDescent="0.25">
      <c r="A48" s="3">
        <v>44216</v>
      </c>
      <c r="B48" s="6" t="s">
        <v>77</v>
      </c>
      <c r="C48" s="4" t="s">
        <v>21</v>
      </c>
      <c r="D48" s="5">
        <v>162.54</v>
      </c>
      <c r="E48" s="1">
        <v>2</v>
      </c>
      <c r="F48" s="1">
        <f>InputData[[#This Row],[UNIT PRICE ($)]]*InputData[[#This Row],[QUANTITY]]</f>
        <v>325.08</v>
      </c>
      <c r="G48" s="1" t="str">
        <f>VLOOKUP(InputData[[#This Row],[CUSTOMER NAME]],Country[#All],2,0)</f>
        <v>India</v>
      </c>
      <c r="H48" s="1" t="str">
        <f>VLOOKUP(InputData[[#This Row],[CUSTOMER NAME]],Country[#All],3,0)</f>
        <v>Western</v>
      </c>
      <c r="I48" s="1" t="str">
        <f>TEXT(InputData[[#This Row],[DATE]],"MMM")</f>
        <v>Jan</v>
      </c>
      <c r="J48" s="1">
        <f>WEEKNUM(InputData[[#This Row],[DATE]])</f>
        <v>4</v>
      </c>
    </row>
    <row r="49" spans="1:10" x14ac:dyDescent="0.25">
      <c r="A49" s="3">
        <v>44216</v>
      </c>
      <c r="B49" s="6" t="s">
        <v>84</v>
      </c>
      <c r="C49" s="4" t="s">
        <v>14</v>
      </c>
      <c r="D49" s="5">
        <v>146.72</v>
      </c>
      <c r="E49" s="1">
        <v>7</v>
      </c>
      <c r="F49" s="1">
        <f>InputData[[#This Row],[UNIT PRICE ($)]]*InputData[[#This Row],[QUANTITY]]</f>
        <v>1027.04</v>
      </c>
      <c r="G49" s="1" t="str">
        <f>VLOOKUP(InputData[[#This Row],[CUSTOMER NAME]],Country[#All],2,0)</f>
        <v>Ethiopia</v>
      </c>
      <c r="H49" s="1" t="str">
        <f>VLOOKUP(InputData[[#This Row],[CUSTOMER NAME]],Country[#All],3,0)</f>
        <v>Export</v>
      </c>
      <c r="I49" s="1" t="str">
        <f>TEXT(InputData[[#This Row],[DATE]],"MMM")</f>
        <v>Jan</v>
      </c>
      <c r="J49" s="1">
        <f>WEEKNUM(InputData[[#This Row],[DATE]])</f>
        <v>4</v>
      </c>
    </row>
    <row r="50" spans="1:10" x14ac:dyDescent="0.25">
      <c r="A50" s="3">
        <v>44217</v>
      </c>
      <c r="B50" s="6" t="s">
        <v>113</v>
      </c>
      <c r="C50" s="4" t="s">
        <v>4</v>
      </c>
      <c r="D50" s="5">
        <v>48.84</v>
      </c>
      <c r="E50" s="1">
        <v>15</v>
      </c>
      <c r="F50" s="1">
        <f>InputData[[#This Row],[UNIT PRICE ($)]]*InputData[[#This Row],[QUANTITY]]</f>
        <v>732.6</v>
      </c>
      <c r="G50" s="1" t="str">
        <f>VLOOKUP(InputData[[#This Row],[CUSTOMER NAME]],Country[#All],2,0)</f>
        <v>Pakistan</v>
      </c>
      <c r="H50" s="1" t="str">
        <f>VLOOKUP(InputData[[#This Row],[CUSTOMER NAME]],Country[#All],3,0)</f>
        <v>Export</v>
      </c>
      <c r="I50" s="1" t="str">
        <f>TEXT(InputData[[#This Row],[DATE]],"MMM")</f>
        <v>Jan</v>
      </c>
      <c r="J50" s="1">
        <f>WEEKNUM(InputData[[#This Row],[DATE]])</f>
        <v>4</v>
      </c>
    </row>
    <row r="51" spans="1:10" x14ac:dyDescent="0.25">
      <c r="A51" s="3">
        <v>44217</v>
      </c>
      <c r="B51" s="6" t="s">
        <v>115</v>
      </c>
      <c r="C51" s="4" t="s">
        <v>42</v>
      </c>
      <c r="D51" s="5">
        <v>162</v>
      </c>
      <c r="E51" s="1">
        <v>6</v>
      </c>
      <c r="F51" s="1">
        <f>InputData[[#This Row],[UNIT PRICE ($)]]*InputData[[#This Row],[QUANTITY]]</f>
        <v>972</v>
      </c>
      <c r="G51" s="1" t="str">
        <f>VLOOKUP(InputData[[#This Row],[CUSTOMER NAME]],Country[#All],2,0)</f>
        <v>India</v>
      </c>
      <c r="H51" s="1" t="str">
        <f>VLOOKUP(InputData[[#This Row],[CUSTOMER NAME]],Country[#All],3,0)</f>
        <v>Northeast</v>
      </c>
      <c r="I51" s="1" t="str">
        <f>TEXT(InputData[[#This Row],[DATE]],"MMM")</f>
        <v>Jan</v>
      </c>
      <c r="J51" s="1">
        <f>WEEKNUM(InputData[[#This Row],[DATE]])</f>
        <v>4</v>
      </c>
    </row>
    <row r="52" spans="1:10" x14ac:dyDescent="0.25">
      <c r="A52" s="3">
        <v>44217</v>
      </c>
      <c r="B52" s="6" t="s">
        <v>88</v>
      </c>
      <c r="C52" s="4" t="s">
        <v>3</v>
      </c>
      <c r="D52" s="5">
        <v>80.94</v>
      </c>
      <c r="E52" s="1">
        <v>9</v>
      </c>
      <c r="F52" s="1">
        <f>InputData[[#This Row],[UNIT PRICE ($)]]*InputData[[#This Row],[QUANTITY]]</f>
        <v>728.46</v>
      </c>
      <c r="G52" s="1" t="str">
        <f>VLOOKUP(InputData[[#This Row],[CUSTOMER NAME]],Country[#All],2,0)</f>
        <v>India</v>
      </c>
      <c r="H52" s="1" t="str">
        <f>VLOOKUP(InputData[[#This Row],[CUSTOMER NAME]],Country[#All],3,0)</f>
        <v>South</v>
      </c>
      <c r="I52" s="1" t="str">
        <f>TEXT(InputData[[#This Row],[DATE]],"MMM")</f>
        <v>Jan</v>
      </c>
      <c r="J52" s="1">
        <f>WEEKNUM(InputData[[#This Row],[DATE]])</f>
        <v>4</v>
      </c>
    </row>
    <row r="53" spans="1:10" x14ac:dyDescent="0.25">
      <c r="A53" s="3">
        <v>44218</v>
      </c>
      <c r="B53" s="6" t="s">
        <v>86</v>
      </c>
      <c r="C53" s="4" t="s">
        <v>1</v>
      </c>
      <c r="D53" s="5">
        <v>103.88</v>
      </c>
      <c r="E53" s="1">
        <v>6</v>
      </c>
      <c r="F53" s="1">
        <f>InputData[[#This Row],[UNIT PRICE ($)]]*InputData[[#This Row],[QUANTITY]]</f>
        <v>623.28</v>
      </c>
      <c r="G53" s="1" t="str">
        <f>VLOOKUP(InputData[[#This Row],[CUSTOMER NAME]],Country[#All],2,0)</f>
        <v>India</v>
      </c>
      <c r="H53" s="1" t="str">
        <f>VLOOKUP(InputData[[#This Row],[CUSTOMER NAME]],Country[#All],3,0)</f>
        <v>South</v>
      </c>
      <c r="I53" s="1" t="str">
        <f>TEXT(InputData[[#This Row],[DATE]],"MMM")</f>
        <v>Jan</v>
      </c>
      <c r="J53" s="1">
        <f>WEEKNUM(InputData[[#This Row],[DATE]])</f>
        <v>4</v>
      </c>
    </row>
    <row r="54" spans="1:10" x14ac:dyDescent="0.25">
      <c r="A54" s="3">
        <v>44219</v>
      </c>
      <c r="B54" s="6" t="s">
        <v>70</v>
      </c>
      <c r="C54" s="4" t="s">
        <v>2</v>
      </c>
      <c r="D54" s="5">
        <v>142.80000000000001</v>
      </c>
      <c r="E54" s="1">
        <v>5</v>
      </c>
      <c r="F54" s="1">
        <f>InputData[[#This Row],[UNIT PRICE ($)]]*InputData[[#This Row],[QUANTITY]]</f>
        <v>714</v>
      </c>
      <c r="G54" s="1" t="str">
        <f>VLOOKUP(InputData[[#This Row],[CUSTOMER NAME]],Country[#All],2,0)</f>
        <v>Mexico</v>
      </c>
      <c r="H54" s="1" t="str">
        <f>VLOOKUP(InputData[[#This Row],[CUSTOMER NAME]],Country[#All],3,0)</f>
        <v>Export</v>
      </c>
      <c r="I54" s="1" t="str">
        <f>TEXT(InputData[[#This Row],[DATE]],"MMM")</f>
        <v>Jan</v>
      </c>
      <c r="J54" s="1">
        <f>WEEKNUM(InputData[[#This Row],[DATE]])</f>
        <v>4</v>
      </c>
    </row>
    <row r="55" spans="1:10" x14ac:dyDescent="0.25">
      <c r="A55" s="3">
        <v>44219</v>
      </c>
      <c r="B55" s="6" t="s">
        <v>77</v>
      </c>
      <c r="C55" s="4" t="s">
        <v>8</v>
      </c>
      <c r="D55" s="5">
        <v>94.62</v>
      </c>
      <c r="E55" s="1">
        <v>17</v>
      </c>
      <c r="F55" s="1">
        <f>InputData[[#This Row],[UNIT PRICE ($)]]*InputData[[#This Row],[QUANTITY]]</f>
        <v>1608.54</v>
      </c>
      <c r="G55" s="1" t="str">
        <f>VLOOKUP(InputData[[#This Row],[CUSTOMER NAME]],Country[#All],2,0)</f>
        <v>India</v>
      </c>
      <c r="H55" s="1" t="str">
        <f>VLOOKUP(InputData[[#This Row],[CUSTOMER NAME]],Country[#All],3,0)</f>
        <v>Western</v>
      </c>
      <c r="I55" s="1" t="str">
        <f>TEXT(InputData[[#This Row],[DATE]],"MMM")</f>
        <v>Jan</v>
      </c>
      <c r="J55" s="1">
        <f>WEEKNUM(InputData[[#This Row],[DATE]])</f>
        <v>4</v>
      </c>
    </row>
    <row r="56" spans="1:10" x14ac:dyDescent="0.25">
      <c r="A56" s="3">
        <v>44219</v>
      </c>
      <c r="B56" s="6" t="s">
        <v>78</v>
      </c>
      <c r="C56" s="4" t="s">
        <v>42</v>
      </c>
      <c r="D56" s="5">
        <v>162</v>
      </c>
      <c r="E56" s="1">
        <v>8</v>
      </c>
      <c r="F56" s="1">
        <f>InputData[[#This Row],[UNIT PRICE ($)]]*InputData[[#This Row],[QUANTITY]]</f>
        <v>1296</v>
      </c>
      <c r="G56" s="1" t="str">
        <f>VLOOKUP(InputData[[#This Row],[CUSTOMER NAME]],Country[#All],2,0)</f>
        <v>India</v>
      </c>
      <c r="H56" s="1" t="str">
        <f>VLOOKUP(InputData[[#This Row],[CUSTOMER NAME]],Country[#All],3,0)</f>
        <v>Central</v>
      </c>
      <c r="I56" s="1" t="str">
        <f>TEXT(InputData[[#This Row],[DATE]],"MMM")</f>
        <v>Jan</v>
      </c>
      <c r="J56" s="1">
        <f>WEEKNUM(InputData[[#This Row],[DATE]])</f>
        <v>4</v>
      </c>
    </row>
    <row r="57" spans="1:10" x14ac:dyDescent="0.25">
      <c r="A57" s="3">
        <v>44220</v>
      </c>
      <c r="B57" s="6" t="s">
        <v>85</v>
      </c>
      <c r="C57" s="4" t="s">
        <v>30</v>
      </c>
      <c r="D57" s="5">
        <v>201.28</v>
      </c>
      <c r="E57" s="1">
        <v>15</v>
      </c>
      <c r="F57" s="1">
        <f>InputData[[#This Row],[UNIT PRICE ($)]]*InputData[[#This Row],[QUANTITY]]</f>
        <v>3019.2</v>
      </c>
      <c r="G57" s="1" t="str">
        <f>VLOOKUP(InputData[[#This Row],[CUSTOMER NAME]],Country[#All],2,0)</f>
        <v>India</v>
      </c>
      <c r="H57" s="1" t="str">
        <f>VLOOKUP(InputData[[#This Row],[CUSTOMER NAME]],Country[#All],3,0)</f>
        <v>Northeast</v>
      </c>
      <c r="I57" s="1" t="str">
        <f>TEXT(InputData[[#This Row],[DATE]],"MMM")</f>
        <v>Jan</v>
      </c>
      <c r="J57" s="1">
        <f>WEEKNUM(InputData[[#This Row],[DATE]])</f>
        <v>5</v>
      </c>
    </row>
    <row r="58" spans="1:10" x14ac:dyDescent="0.25">
      <c r="A58" s="3">
        <v>44221</v>
      </c>
      <c r="B58" s="6" t="s">
        <v>60</v>
      </c>
      <c r="C58" s="4" t="s">
        <v>31</v>
      </c>
      <c r="D58" s="5">
        <v>104.16</v>
      </c>
      <c r="E58" s="1">
        <v>14</v>
      </c>
      <c r="F58" s="1">
        <f>InputData[[#This Row],[UNIT PRICE ($)]]*InputData[[#This Row],[QUANTITY]]</f>
        <v>1458.24</v>
      </c>
      <c r="G58" s="1" t="str">
        <f>VLOOKUP(InputData[[#This Row],[CUSTOMER NAME]],Country[#All],2,0)</f>
        <v>Nigeria</v>
      </c>
      <c r="H58" s="1" t="str">
        <f>VLOOKUP(InputData[[#This Row],[CUSTOMER NAME]],Country[#All],3,0)</f>
        <v>Export</v>
      </c>
      <c r="I58" s="1" t="str">
        <f>TEXT(InputData[[#This Row],[DATE]],"MMM")</f>
        <v>Jan</v>
      </c>
      <c r="J58" s="1">
        <f>WEEKNUM(InputData[[#This Row],[DATE]])</f>
        <v>5</v>
      </c>
    </row>
    <row r="59" spans="1:10" x14ac:dyDescent="0.25">
      <c r="A59" s="3">
        <v>44221</v>
      </c>
      <c r="B59" s="6" t="s">
        <v>108</v>
      </c>
      <c r="C59" s="4" t="s">
        <v>35</v>
      </c>
      <c r="D59" s="5">
        <v>6.7</v>
      </c>
      <c r="E59" s="1">
        <v>7</v>
      </c>
      <c r="F59" s="1">
        <f>InputData[[#This Row],[UNIT PRICE ($)]]*InputData[[#This Row],[QUANTITY]]</f>
        <v>46.9</v>
      </c>
      <c r="G59" s="1" t="str">
        <f>VLOOKUP(InputData[[#This Row],[CUSTOMER NAME]],Country[#All],2,0)</f>
        <v>India</v>
      </c>
      <c r="H59" s="1" t="str">
        <f>VLOOKUP(InputData[[#This Row],[CUSTOMER NAME]],Country[#All],3,0)</f>
        <v>North</v>
      </c>
      <c r="I59" s="1" t="str">
        <f>TEXT(InputData[[#This Row],[DATE]],"MMM")</f>
        <v>Jan</v>
      </c>
      <c r="J59" s="1">
        <f>WEEKNUM(InputData[[#This Row],[DATE]])</f>
        <v>5</v>
      </c>
    </row>
    <row r="60" spans="1:10" x14ac:dyDescent="0.25">
      <c r="A60" s="3">
        <v>44221</v>
      </c>
      <c r="B60" s="6" t="s">
        <v>67</v>
      </c>
      <c r="C60" s="4" t="s">
        <v>34</v>
      </c>
      <c r="D60" s="5">
        <v>58.3</v>
      </c>
      <c r="E60" s="1">
        <v>6</v>
      </c>
      <c r="F60" s="1">
        <f>InputData[[#This Row],[UNIT PRICE ($)]]*InputData[[#This Row],[QUANTITY]]</f>
        <v>349.79999999999995</v>
      </c>
      <c r="G60" s="1" t="str">
        <f>VLOOKUP(InputData[[#This Row],[CUSTOMER NAME]],Country[#All],2,0)</f>
        <v>United Kingdom</v>
      </c>
      <c r="H60" s="1" t="str">
        <f>VLOOKUP(InputData[[#This Row],[CUSTOMER NAME]],Country[#All],3,0)</f>
        <v>Export</v>
      </c>
      <c r="I60" s="1" t="str">
        <f>TEXT(InputData[[#This Row],[DATE]],"MMM")</f>
        <v>Jan</v>
      </c>
      <c r="J60" s="1">
        <f>WEEKNUM(InputData[[#This Row],[DATE]])</f>
        <v>5</v>
      </c>
    </row>
    <row r="61" spans="1:10" x14ac:dyDescent="0.25">
      <c r="A61" s="3">
        <v>44221</v>
      </c>
      <c r="B61" s="6" t="s">
        <v>80</v>
      </c>
      <c r="C61" s="4" t="s">
        <v>17</v>
      </c>
      <c r="D61" s="5">
        <v>156.78</v>
      </c>
      <c r="E61" s="1">
        <v>14</v>
      </c>
      <c r="F61" s="1">
        <f>InputData[[#This Row],[UNIT PRICE ($)]]*InputData[[#This Row],[QUANTITY]]</f>
        <v>2194.92</v>
      </c>
      <c r="G61" s="1" t="str">
        <f>VLOOKUP(InputData[[#This Row],[CUSTOMER NAME]],Country[#All],2,0)</f>
        <v>South Africa</v>
      </c>
      <c r="H61" s="1" t="str">
        <f>VLOOKUP(InputData[[#This Row],[CUSTOMER NAME]],Country[#All],3,0)</f>
        <v>Export</v>
      </c>
      <c r="I61" s="1" t="str">
        <f>TEXT(InputData[[#This Row],[DATE]],"MMM")</f>
        <v>Jan</v>
      </c>
      <c r="J61" s="1">
        <f>WEEKNUM(InputData[[#This Row],[DATE]])</f>
        <v>5</v>
      </c>
    </row>
    <row r="62" spans="1:10" x14ac:dyDescent="0.25">
      <c r="A62" s="3">
        <v>44222</v>
      </c>
      <c r="B62" s="6" t="s">
        <v>108</v>
      </c>
      <c r="C62" s="4" t="s">
        <v>24</v>
      </c>
      <c r="D62" s="5">
        <v>156.96</v>
      </c>
      <c r="E62" s="1">
        <v>29</v>
      </c>
      <c r="F62" s="1">
        <f>InputData[[#This Row],[UNIT PRICE ($)]]*InputData[[#This Row],[QUANTITY]]</f>
        <v>4551.84</v>
      </c>
      <c r="G62" s="1" t="str">
        <f>VLOOKUP(InputData[[#This Row],[CUSTOMER NAME]],Country[#All],2,0)</f>
        <v>India</v>
      </c>
      <c r="H62" s="1" t="str">
        <f>VLOOKUP(InputData[[#This Row],[CUSTOMER NAME]],Country[#All],3,0)</f>
        <v>North</v>
      </c>
      <c r="I62" s="1" t="str">
        <f>TEXT(InputData[[#This Row],[DATE]],"MMM")</f>
        <v>Jan</v>
      </c>
      <c r="J62" s="1">
        <f>WEEKNUM(InputData[[#This Row],[DATE]])</f>
        <v>5</v>
      </c>
    </row>
    <row r="63" spans="1:10" x14ac:dyDescent="0.25">
      <c r="A63" s="3">
        <v>44222</v>
      </c>
      <c r="B63" s="6" t="s">
        <v>65</v>
      </c>
      <c r="C63" s="4" t="s">
        <v>44</v>
      </c>
      <c r="D63" s="5">
        <v>82.08</v>
      </c>
      <c r="E63" s="1">
        <v>9</v>
      </c>
      <c r="F63" s="1">
        <f>InputData[[#This Row],[UNIT PRICE ($)]]*InputData[[#This Row],[QUANTITY]]</f>
        <v>738.72</v>
      </c>
      <c r="G63" s="1" t="str">
        <f>VLOOKUP(InputData[[#This Row],[CUSTOMER NAME]],Country[#All],2,0)</f>
        <v>Pakistan</v>
      </c>
      <c r="H63" s="1" t="str">
        <f>VLOOKUP(InputData[[#This Row],[CUSTOMER NAME]],Country[#All],3,0)</f>
        <v>Export</v>
      </c>
      <c r="I63" s="1" t="str">
        <f>TEXT(InputData[[#This Row],[DATE]],"MMM")</f>
        <v>Jan</v>
      </c>
      <c r="J63" s="1">
        <f>WEEKNUM(InputData[[#This Row],[DATE]])</f>
        <v>5</v>
      </c>
    </row>
    <row r="64" spans="1:10" x14ac:dyDescent="0.25">
      <c r="A64" s="3">
        <v>44222</v>
      </c>
      <c r="B64" s="6" t="s">
        <v>111</v>
      </c>
      <c r="C64" s="4" t="s">
        <v>1</v>
      </c>
      <c r="D64" s="5">
        <v>103.88</v>
      </c>
      <c r="E64" s="1">
        <v>7</v>
      </c>
      <c r="F64" s="1">
        <f>InputData[[#This Row],[UNIT PRICE ($)]]*InputData[[#This Row],[QUANTITY]]</f>
        <v>727.16</v>
      </c>
      <c r="G64" s="1" t="str">
        <f>VLOOKUP(InputData[[#This Row],[CUSTOMER NAME]],Country[#All],2,0)</f>
        <v>India</v>
      </c>
      <c r="H64" s="1" t="str">
        <f>VLOOKUP(InputData[[#This Row],[CUSTOMER NAME]],Country[#All],3,0)</f>
        <v>Northeast</v>
      </c>
      <c r="I64" s="1" t="str">
        <f>TEXT(InputData[[#This Row],[DATE]],"MMM")</f>
        <v>Jan</v>
      </c>
      <c r="J64" s="1">
        <f>WEEKNUM(InputData[[#This Row],[DATE]])</f>
        <v>5</v>
      </c>
    </row>
    <row r="65" spans="1:10" x14ac:dyDescent="0.25">
      <c r="A65" s="3">
        <v>44222</v>
      </c>
      <c r="B65" s="6" t="s">
        <v>76</v>
      </c>
      <c r="C65" s="4" t="s">
        <v>6</v>
      </c>
      <c r="D65" s="5">
        <v>85.5</v>
      </c>
      <c r="E65" s="1">
        <v>7</v>
      </c>
      <c r="F65" s="1">
        <f>InputData[[#This Row],[UNIT PRICE ($)]]*InputData[[#This Row],[QUANTITY]]</f>
        <v>598.5</v>
      </c>
      <c r="G65" s="1" t="str">
        <f>VLOOKUP(InputData[[#This Row],[CUSTOMER NAME]],Country[#All],2,0)</f>
        <v>Saudi Arabia</v>
      </c>
      <c r="H65" s="1" t="str">
        <f>VLOOKUP(InputData[[#This Row],[CUSTOMER NAME]],Country[#All],3,0)</f>
        <v>Export</v>
      </c>
      <c r="I65" s="1" t="str">
        <f>TEXT(InputData[[#This Row],[DATE]],"MMM")</f>
        <v>Jan</v>
      </c>
      <c r="J65" s="1">
        <f>WEEKNUM(InputData[[#This Row],[DATE]])</f>
        <v>5</v>
      </c>
    </row>
    <row r="66" spans="1:10" x14ac:dyDescent="0.25">
      <c r="A66" s="3">
        <v>44222</v>
      </c>
      <c r="B66" s="6" t="s">
        <v>77</v>
      </c>
      <c r="C66" s="4" t="s">
        <v>10</v>
      </c>
      <c r="D66" s="5">
        <v>164.28</v>
      </c>
      <c r="E66" s="1">
        <v>1</v>
      </c>
      <c r="F66" s="1">
        <f>InputData[[#This Row],[UNIT PRICE ($)]]*InputData[[#This Row],[QUANTITY]]</f>
        <v>164.28</v>
      </c>
      <c r="G66" s="1" t="str">
        <f>VLOOKUP(InputData[[#This Row],[CUSTOMER NAME]],Country[#All],2,0)</f>
        <v>India</v>
      </c>
      <c r="H66" s="1" t="str">
        <f>VLOOKUP(InputData[[#This Row],[CUSTOMER NAME]],Country[#All],3,0)</f>
        <v>Western</v>
      </c>
      <c r="I66" s="1" t="str">
        <f>TEXT(InputData[[#This Row],[DATE]],"MMM")</f>
        <v>Jan</v>
      </c>
      <c r="J66" s="1">
        <f>WEEKNUM(InputData[[#This Row],[DATE]])</f>
        <v>5</v>
      </c>
    </row>
    <row r="67" spans="1:10" x14ac:dyDescent="0.25">
      <c r="A67" s="3">
        <v>44223</v>
      </c>
      <c r="B67" s="6" t="s">
        <v>67</v>
      </c>
      <c r="C67" s="4" t="s">
        <v>32</v>
      </c>
      <c r="D67" s="5">
        <v>117.48</v>
      </c>
      <c r="E67" s="1">
        <v>3</v>
      </c>
      <c r="F67" s="1">
        <f>InputData[[#This Row],[UNIT PRICE ($)]]*InputData[[#This Row],[QUANTITY]]</f>
        <v>352.44</v>
      </c>
      <c r="G67" s="1" t="str">
        <f>VLOOKUP(InputData[[#This Row],[CUSTOMER NAME]],Country[#All],2,0)</f>
        <v>United Kingdom</v>
      </c>
      <c r="H67" s="1" t="str">
        <f>VLOOKUP(InputData[[#This Row],[CUSTOMER NAME]],Country[#All],3,0)</f>
        <v>Export</v>
      </c>
      <c r="I67" s="1" t="str">
        <f>TEXT(InputData[[#This Row],[DATE]],"MMM")</f>
        <v>Jan</v>
      </c>
      <c r="J67" s="1">
        <f>WEEKNUM(InputData[[#This Row],[DATE]])</f>
        <v>5</v>
      </c>
    </row>
    <row r="68" spans="1:10" x14ac:dyDescent="0.25">
      <c r="A68" s="3">
        <v>44223</v>
      </c>
      <c r="B68" s="6" t="s">
        <v>74</v>
      </c>
      <c r="C68" s="4" t="s">
        <v>40</v>
      </c>
      <c r="D68" s="5">
        <v>115.2</v>
      </c>
      <c r="E68" s="1">
        <v>7</v>
      </c>
      <c r="F68" s="1">
        <f>InputData[[#This Row],[UNIT PRICE ($)]]*InputData[[#This Row],[QUANTITY]]</f>
        <v>806.4</v>
      </c>
      <c r="G68" s="1" t="str">
        <f>VLOOKUP(InputData[[#This Row],[CUSTOMER NAME]],Country[#All],2,0)</f>
        <v>Brazil</v>
      </c>
      <c r="H68" s="1" t="str">
        <f>VLOOKUP(InputData[[#This Row],[CUSTOMER NAME]],Country[#All],3,0)</f>
        <v>Export</v>
      </c>
      <c r="I68" s="1" t="str">
        <f>TEXT(InputData[[#This Row],[DATE]],"MMM")</f>
        <v>Jan</v>
      </c>
      <c r="J68" s="1">
        <f>WEEKNUM(InputData[[#This Row],[DATE]])</f>
        <v>5</v>
      </c>
    </row>
    <row r="69" spans="1:10" x14ac:dyDescent="0.25">
      <c r="A69" s="3">
        <v>44223</v>
      </c>
      <c r="B69" s="6" t="s">
        <v>75</v>
      </c>
      <c r="C69" s="4" t="s">
        <v>5</v>
      </c>
      <c r="D69" s="5">
        <v>155.61000000000001</v>
      </c>
      <c r="E69" s="1">
        <v>37</v>
      </c>
      <c r="F69" s="1">
        <f>InputData[[#This Row],[UNIT PRICE ($)]]*InputData[[#This Row],[QUANTITY]]</f>
        <v>5757.5700000000006</v>
      </c>
      <c r="G69" s="1" t="str">
        <f>VLOOKUP(InputData[[#This Row],[CUSTOMER NAME]],Country[#All],2,0)</f>
        <v>Russia</v>
      </c>
      <c r="H69" s="1" t="str">
        <f>VLOOKUP(InputData[[#This Row],[CUSTOMER NAME]],Country[#All],3,0)</f>
        <v>Export</v>
      </c>
      <c r="I69" s="1" t="str">
        <f>TEXT(InputData[[#This Row],[DATE]],"MMM")</f>
        <v>Jan</v>
      </c>
      <c r="J69" s="1">
        <f>WEEKNUM(InputData[[#This Row],[DATE]])</f>
        <v>5</v>
      </c>
    </row>
    <row r="70" spans="1:10" x14ac:dyDescent="0.25">
      <c r="A70" s="3">
        <v>44223</v>
      </c>
      <c r="B70" s="6" t="s">
        <v>84</v>
      </c>
      <c r="C70" s="4" t="s">
        <v>19</v>
      </c>
      <c r="D70" s="5">
        <v>210</v>
      </c>
      <c r="E70" s="1">
        <v>21</v>
      </c>
      <c r="F70" s="1">
        <f>InputData[[#This Row],[UNIT PRICE ($)]]*InputData[[#This Row],[QUANTITY]]</f>
        <v>4410</v>
      </c>
      <c r="G70" s="1" t="str">
        <f>VLOOKUP(InputData[[#This Row],[CUSTOMER NAME]],Country[#All],2,0)</f>
        <v>Ethiopia</v>
      </c>
      <c r="H70" s="1" t="str">
        <f>VLOOKUP(InputData[[#This Row],[CUSTOMER NAME]],Country[#All],3,0)</f>
        <v>Export</v>
      </c>
      <c r="I70" s="1" t="str">
        <f>TEXT(InputData[[#This Row],[DATE]],"MMM")</f>
        <v>Jan</v>
      </c>
      <c r="J70" s="1">
        <f>WEEKNUM(InputData[[#This Row],[DATE]])</f>
        <v>5</v>
      </c>
    </row>
    <row r="71" spans="1:10" x14ac:dyDescent="0.25">
      <c r="A71" s="3">
        <v>44224</v>
      </c>
      <c r="B71" s="6" t="s">
        <v>108</v>
      </c>
      <c r="C71" s="4" t="s">
        <v>16</v>
      </c>
      <c r="D71" s="5">
        <v>16.64</v>
      </c>
      <c r="E71" s="1">
        <v>11</v>
      </c>
      <c r="F71" s="1">
        <f>InputData[[#This Row],[UNIT PRICE ($)]]*InputData[[#This Row],[QUANTITY]]</f>
        <v>183.04000000000002</v>
      </c>
      <c r="G71" s="1" t="str">
        <f>VLOOKUP(InputData[[#This Row],[CUSTOMER NAME]],Country[#All],2,0)</f>
        <v>India</v>
      </c>
      <c r="H71" s="1" t="str">
        <f>VLOOKUP(InputData[[#This Row],[CUSTOMER NAME]],Country[#All],3,0)</f>
        <v>North</v>
      </c>
      <c r="I71" s="1" t="str">
        <f>TEXT(InputData[[#This Row],[DATE]],"MMM")</f>
        <v>Jan</v>
      </c>
      <c r="J71" s="1">
        <f>WEEKNUM(InputData[[#This Row],[DATE]])</f>
        <v>5</v>
      </c>
    </row>
    <row r="72" spans="1:10" x14ac:dyDescent="0.25">
      <c r="A72" s="3">
        <v>44224</v>
      </c>
      <c r="B72" s="6" t="s">
        <v>62</v>
      </c>
      <c r="C72" s="4" t="s">
        <v>29</v>
      </c>
      <c r="D72" s="5">
        <v>53.11</v>
      </c>
      <c r="E72" s="1">
        <v>2</v>
      </c>
      <c r="F72" s="1">
        <f>InputData[[#This Row],[UNIT PRICE ($)]]*InputData[[#This Row],[QUANTITY]]</f>
        <v>106.22</v>
      </c>
      <c r="G72" s="1" t="str">
        <f>VLOOKUP(InputData[[#This Row],[CUSTOMER NAME]],Country[#All],2,0)</f>
        <v>India</v>
      </c>
      <c r="H72" s="1" t="str">
        <f>VLOOKUP(InputData[[#This Row],[CUSTOMER NAME]],Country[#All],3,0)</f>
        <v>Northeast</v>
      </c>
      <c r="I72" s="1" t="str">
        <f>TEXT(InputData[[#This Row],[DATE]],"MMM")</f>
        <v>Jan</v>
      </c>
      <c r="J72" s="1">
        <f>WEEKNUM(InputData[[#This Row],[DATE]])</f>
        <v>5</v>
      </c>
    </row>
    <row r="73" spans="1:10" x14ac:dyDescent="0.25">
      <c r="A73" s="3">
        <v>44224</v>
      </c>
      <c r="B73" s="6" t="s">
        <v>116</v>
      </c>
      <c r="C73" s="4" t="s">
        <v>4</v>
      </c>
      <c r="D73" s="5">
        <v>48.84</v>
      </c>
      <c r="E73" s="1">
        <v>10</v>
      </c>
      <c r="F73" s="1">
        <f>InputData[[#This Row],[UNIT PRICE ($)]]*InputData[[#This Row],[QUANTITY]]</f>
        <v>488.40000000000003</v>
      </c>
      <c r="G73" s="1" t="str">
        <f>VLOOKUP(InputData[[#This Row],[CUSTOMER NAME]],Country[#All],2,0)</f>
        <v>Germany</v>
      </c>
      <c r="H73" s="1" t="str">
        <f>VLOOKUP(InputData[[#This Row],[CUSTOMER NAME]],Country[#All],3,0)</f>
        <v>Export</v>
      </c>
      <c r="I73" s="1" t="str">
        <f>TEXT(InputData[[#This Row],[DATE]],"MMM")</f>
        <v>Jan</v>
      </c>
      <c r="J73" s="1">
        <f>WEEKNUM(InputData[[#This Row],[DATE]])</f>
        <v>5</v>
      </c>
    </row>
    <row r="74" spans="1:10" x14ac:dyDescent="0.25">
      <c r="A74" s="3">
        <v>44225</v>
      </c>
      <c r="B74" s="6" t="s">
        <v>110</v>
      </c>
      <c r="C74" s="4" t="s">
        <v>4</v>
      </c>
      <c r="D74" s="5">
        <v>48.84</v>
      </c>
      <c r="E74" s="1">
        <v>10</v>
      </c>
      <c r="F74" s="1">
        <f>InputData[[#This Row],[UNIT PRICE ($)]]*InputData[[#This Row],[QUANTITY]]</f>
        <v>488.40000000000003</v>
      </c>
      <c r="G74" s="1" t="str">
        <f>VLOOKUP(InputData[[#This Row],[CUSTOMER NAME]],Country[#All],2,0)</f>
        <v>India</v>
      </c>
      <c r="H74" s="1" t="str">
        <f>VLOOKUP(InputData[[#This Row],[CUSTOMER NAME]],Country[#All],3,0)</f>
        <v>Western</v>
      </c>
      <c r="I74" s="1" t="str">
        <f>TEXT(InputData[[#This Row],[DATE]],"MMM")</f>
        <v>Jan</v>
      </c>
      <c r="J74" s="1">
        <f>WEEKNUM(InputData[[#This Row],[DATE]])</f>
        <v>5</v>
      </c>
    </row>
    <row r="75" spans="1:10" x14ac:dyDescent="0.25">
      <c r="A75" s="3">
        <v>44225</v>
      </c>
      <c r="B75" s="6" t="s">
        <v>78</v>
      </c>
      <c r="C75" s="4" t="s">
        <v>24</v>
      </c>
      <c r="D75" s="5">
        <v>156.96</v>
      </c>
      <c r="E75" s="1">
        <v>25</v>
      </c>
      <c r="F75" s="1">
        <f>InputData[[#This Row],[UNIT PRICE ($)]]*InputData[[#This Row],[QUANTITY]]</f>
        <v>3924</v>
      </c>
      <c r="G75" s="1" t="str">
        <f>VLOOKUP(InputData[[#This Row],[CUSTOMER NAME]],Country[#All],2,0)</f>
        <v>India</v>
      </c>
      <c r="H75" s="1" t="str">
        <f>VLOOKUP(InputData[[#This Row],[CUSTOMER NAME]],Country[#All],3,0)</f>
        <v>Central</v>
      </c>
      <c r="I75" s="1" t="str">
        <f>TEXT(InputData[[#This Row],[DATE]],"MMM")</f>
        <v>Jan</v>
      </c>
      <c r="J75" s="1">
        <f>WEEKNUM(InputData[[#This Row],[DATE]])</f>
        <v>5</v>
      </c>
    </row>
    <row r="76" spans="1:10" x14ac:dyDescent="0.25">
      <c r="A76" s="3">
        <v>44225</v>
      </c>
      <c r="B76" s="6" t="s">
        <v>113</v>
      </c>
      <c r="C76" s="4" t="s">
        <v>14</v>
      </c>
      <c r="D76" s="5">
        <v>146.72</v>
      </c>
      <c r="E76" s="1">
        <v>21</v>
      </c>
      <c r="F76" s="1">
        <f>InputData[[#This Row],[UNIT PRICE ($)]]*InputData[[#This Row],[QUANTITY]]</f>
        <v>3081.12</v>
      </c>
      <c r="G76" s="1" t="str">
        <f>VLOOKUP(InputData[[#This Row],[CUSTOMER NAME]],Country[#All],2,0)</f>
        <v>Pakistan</v>
      </c>
      <c r="H76" s="1" t="str">
        <f>VLOOKUP(InputData[[#This Row],[CUSTOMER NAME]],Country[#All],3,0)</f>
        <v>Export</v>
      </c>
      <c r="I76" s="1" t="str">
        <f>TEXT(InputData[[#This Row],[DATE]],"MMM")</f>
        <v>Jan</v>
      </c>
      <c r="J76" s="1">
        <f>WEEKNUM(InputData[[#This Row],[DATE]])</f>
        <v>5</v>
      </c>
    </row>
    <row r="77" spans="1:10" x14ac:dyDescent="0.25">
      <c r="A77" s="3">
        <v>44226</v>
      </c>
      <c r="B77" s="6" t="s">
        <v>112</v>
      </c>
      <c r="C77" s="4" t="s">
        <v>43</v>
      </c>
      <c r="D77" s="5">
        <v>83.08</v>
      </c>
      <c r="E77" s="1">
        <v>2</v>
      </c>
      <c r="F77" s="1">
        <f>InputData[[#This Row],[UNIT PRICE ($)]]*InputData[[#This Row],[QUANTITY]]</f>
        <v>166.16</v>
      </c>
      <c r="G77" s="1" t="str">
        <f>VLOOKUP(InputData[[#This Row],[CUSTOMER NAME]],Country[#All],2,0)</f>
        <v>India</v>
      </c>
      <c r="H77" s="1" t="str">
        <f>VLOOKUP(InputData[[#This Row],[CUSTOMER NAME]],Country[#All],3,0)</f>
        <v>North</v>
      </c>
      <c r="I77" s="1" t="str">
        <f>TEXT(InputData[[#This Row],[DATE]],"MMM")</f>
        <v>Jan</v>
      </c>
      <c r="J77" s="1">
        <f>WEEKNUM(InputData[[#This Row],[DATE]])</f>
        <v>5</v>
      </c>
    </row>
    <row r="78" spans="1:10" x14ac:dyDescent="0.25">
      <c r="A78" s="3">
        <v>44226</v>
      </c>
      <c r="B78" s="6" t="s">
        <v>80</v>
      </c>
      <c r="C78" s="4" t="s">
        <v>27</v>
      </c>
      <c r="D78" s="5">
        <v>57.120000000000005</v>
      </c>
      <c r="E78" s="1">
        <v>2</v>
      </c>
      <c r="F78" s="1">
        <f>InputData[[#This Row],[UNIT PRICE ($)]]*InputData[[#This Row],[QUANTITY]]</f>
        <v>114.24000000000001</v>
      </c>
      <c r="G78" s="1" t="str">
        <f>VLOOKUP(InputData[[#This Row],[CUSTOMER NAME]],Country[#All],2,0)</f>
        <v>South Africa</v>
      </c>
      <c r="H78" s="1" t="str">
        <f>VLOOKUP(InputData[[#This Row],[CUSTOMER NAME]],Country[#All],3,0)</f>
        <v>Export</v>
      </c>
      <c r="I78" s="1" t="str">
        <f>TEXT(InputData[[#This Row],[DATE]],"MMM")</f>
        <v>Jan</v>
      </c>
      <c r="J78" s="1">
        <f>WEEKNUM(InputData[[#This Row],[DATE]])</f>
        <v>5</v>
      </c>
    </row>
    <row r="79" spans="1:10" x14ac:dyDescent="0.25">
      <c r="A79" s="3">
        <v>44227</v>
      </c>
      <c r="B79" s="6" t="s">
        <v>110</v>
      </c>
      <c r="C79" s="4" t="s">
        <v>27</v>
      </c>
      <c r="D79" s="5">
        <v>57.120000000000005</v>
      </c>
      <c r="E79" s="1">
        <v>20</v>
      </c>
      <c r="F79" s="1">
        <f>InputData[[#This Row],[UNIT PRICE ($)]]*InputData[[#This Row],[QUANTITY]]</f>
        <v>1142.4000000000001</v>
      </c>
      <c r="G79" s="1" t="str">
        <f>VLOOKUP(InputData[[#This Row],[CUSTOMER NAME]],Country[#All],2,0)</f>
        <v>India</v>
      </c>
      <c r="H79" s="1" t="str">
        <f>VLOOKUP(InputData[[#This Row],[CUSTOMER NAME]],Country[#All],3,0)</f>
        <v>Western</v>
      </c>
      <c r="I79" s="1" t="str">
        <f>TEXT(InputData[[#This Row],[DATE]],"MMM")</f>
        <v>Jan</v>
      </c>
      <c r="J79" s="1">
        <f>WEEKNUM(InputData[[#This Row],[DATE]])</f>
        <v>6</v>
      </c>
    </row>
    <row r="80" spans="1:10" x14ac:dyDescent="0.25">
      <c r="A80" s="3">
        <v>44227</v>
      </c>
      <c r="B80" s="6" t="s">
        <v>110</v>
      </c>
      <c r="C80" s="4" t="s">
        <v>28</v>
      </c>
      <c r="D80" s="5">
        <v>41.81</v>
      </c>
      <c r="E80" s="1">
        <v>3</v>
      </c>
      <c r="F80" s="1">
        <f>InputData[[#This Row],[UNIT PRICE ($)]]*InputData[[#This Row],[QUANTITY]]</f>
        <v>125.43</v>
      </c>
      <c r="G80" s="1" t="str">
        <f>VLOOKUP(InputData[[#This Row],[CUSTOMER NAME]],Country[#All],2,0)</f>
        <v>India</v>
      </c>
      <c r="H80" s="1" t="str">
        <f>VLOOKUP(InputData[[#This Row],[CUSTOMER NAME]],Country[#All],3,0)</f>
        <v>Western</v>
      </c>
      <c r="I80" s="1" t="str">
        <f>TEXT(InputData[[#This Row],[DATE]],"MMM")</f>
        <v>Jan</v>
      </c>
      <c r="J80" s="1">
        <f>WEEKNUM(InputData[[#This Row],[DATE]])</f>
        <v>6</v>
      </c>
    </row>
    <row r="81" spans="1:10" x14ac:dyDescent="0.25">
      <c r="A81" s="3">
        <v>44227</v>
      </c>
      <c r="B81" s="6" t="s">
        <v>81</v>
      </c>
      <c r="C81" s="4" t="s">
        <v>41</v>
      </c>
      <c r="D81" s="5">
        <v>173.88</v>
      </c>
      <c r="E81" s="1">
        <v>9</v>
      </c>
      <c r="F81" s="1">
        <f>InputData[[#This Row],[UNIT PRICE ($)]]*InputData[[#This Row],[QUANTITY]]</f>
        <v>1564.92</v>
      </c>
      <c r="G81" s="1" t="str">
        <f>VLOOKUP(InputData[[#This Row],[CUSTOMER NAME]],Country[#All],2,0)</f>
        <v>India</v>
      </c>
      <c r="H81" s="1" t="str">
        <f>VLOOKUP(InputData[[#This Row],[CUSTOMER NAME]],Country[#All],3,0)</f>
        <v>East</v>
      </c>
      <c r="I81" s="1" t="str">
        <f>TEXT(InputData[[#This Row],[DATE]],"MMM")</f>
        <v>Jan</v>
      </c>
      <c r="J81" s="1">
        <f>WEEKNUM(InputData[[#This Row],[DATE]])</f>
        <v>6</v>
      </c>
    </row>
    <row r="82" spans="1:10" x14ac:dyDescent="0.25">
      <c r="A82" s="3">
        <v>44227</v>
      </c>
      <c r="B82" s="6" t="s">
        <v>116</v>
      </c>
      <c r="C82" s="4" t="s">
        <v>3</v>
      </c>
      <c r="D82" s="5">
        <v>80.94</v>
      </c>
      <c r="E82" s="1">
        <v>33</v>
      </c>
      <c r="F82" s="1">
        <f>InputData[[#This Row],[UNIT PRICE ($)]]*InputData[[#This Row],[QUANTITY]]</f>
        <v>2671.02</v>
      </c>
      <c r="G82" s="1" t="str">
        <f>VLOOKUP(InputData[[#This Row],[CUSTOMER NAME]],Country[#All],2,0)</f>
        <v>Germany</v>
      </c>
      <c r="H82" s="1" t="str">
        <f>VLOOKUP(InputData[[#This Row],[CUSTOMER NAME]],Country[#All],3,0)</f>
        <v>Export</v>
      </c>
      <c r="I82" s="1" t="str">
        <f>TEXT(InputData[[#This Row],[DATE]],"MMM")</f>
        <v>Jan</v>
      </c>
      <c r="J82" s="1">
        <f>WEEKNUM(InputData[[#This Row],[DATE]])</f>
        <v>6</v>
      </c>
    </row>
    <row r="83" spans="1:10" x14ac:dyDescent="0.25">
      <c r="A83" s="3">
        <v>44227</v>
      </c>
      <c r="B83" s="6" t="s">
        <v>89</v>
      </c>
      <c r="C83" s="4" t="s">
        <v>23</v>
      </c>
      <c r="D83" s="5">
        <v>149.46</v>
      </c>
      <c r="E83" s="1">
        <v>6</v>
      </c>
      <c r="F83" s="1">
        <f>InputData[[#This Row],[UNIT PRICE ($)]]*InputData[[#This Row],[QUANTITY]]</f>
        <v>896.76</v>
      </c>
      <c r="G83" s="1" t="str">
        <f>VLOOKUP(InputData[[#This Row],[CUSTOMER NAME]],Country[#All],2,0)</f>
        <v>Mexico</v>
      </c>
      <c r="H83" s="1" t="str">
        <f>VLOOKUP(InputData[[#This Row],[CUSTOMER NAME]],Country[#All],3,0)</f>
        <v>Export</v>
      </c>
      <c r="I83" s="1" t="str">
        <f>TEXT(InputData[[#This Row],[DATE]],"MMM")</f>
        <v>Jan</v>
      </c>
      <c r="J83" s="1">
        <f>WEEKNUM(InputData[[#This Row],[DATE]])</f>
        <v>6</v>
      </c>
    </row>
    <row r="84" spans="1:10" x14ac:dyDescent="0.25">
      <c r="A84" s="3">
        <v>44228</v>
      </c>
      <c r="B84" s="6" t="s">
        <v>60</v>
      </c>
      <c r="C84" s="4" t="s">
        <v>5</v>
      </c>
      <c r="D84" s="5">
        <v>155.61000000000001</v>
      </c>
      <c r="E84" s="1">
        <v>9</v>
      </c>
      <c r="F84" s="1">
        <f>InputData[[#This Row],[UNIT PRICE ($)]]*InputData[[#This Row],[QUANTITY]]</f>
        <v>1400.4900000000002</v>
      </c>
      <c r="G84" s="1" t="str">
        <f>VLOOKUP(InputData[[#This Row],[CUSTOMER NAME]],Country[#All],2,0)</f>
        <v>Nigeria</v>
      </c>
      <c r="H84" s="1" t="str">
        <f>VLOOKUP(InputData[[#This Row],[CUSTOMER NAME]],Country[#All],3,0)</f>
        <v>Export</v>
      </c>
      <c r="I84" s="1" t="str">
        <f>TEXT(InputData[[#This Row],[DATE]],"MMM")</f>
        <v>Feb</v>
      </c>
      <c r="J84" s="1">
        <f>WEEKNUM(InputData[[#This Row],[DATE]])</f>
        <v>6</v>
      </c>
    </row>
    <row r="85" spans="1:10" x14ac:dyDescent="0.25">
      <c r="A85" s="3">
        <v>44229</v>
      </c>
      <c r="B85" s="6" t="s">
        <v>112</v>
      </c>
      <c r="C85" s="4" t="s">
        <v>10</v>
      </c>
      <c r="D85" s="5">
        <v>164.28</v>
      </c>
      <c r="E85" s="1">
        <v>7</v>
      </c>
      <c r="F85" s="1">
        <f>InputData[[#This Row],[UNIT PRICE ($)]]*InputData[[#This Row],[QUANTITY]]</f>
        <v>1149.96</v>
      </c>
      <c r="G85" s="1" t="str">
        <f>VLOOKUP(InputData[[#This Row],[CUSTOMER NAME]],Country[#All],2,0)</f>
        <v>India</v>
      </c>
      <c r="H85" s="1" t="str">
        <f>VLOOKUP(InputData[[#This Row],[CUSTOMER NAME]],Country[#All],3,0)</f>
        <v>North</v>
      </c>
      <c r="I85" s="1" t="str">
        <f>TEXT(InputData[[#This Row],[DATE]],"MMM")</f>
        <v>Feb</v>
      </c>
      <c r="J85" s="1">
        <f>WEEKNUM(InputData[[#This Row],[DATE]])</f>
        <v>6</v>
      </c>
    </row>
    <row r="86" spans="1:10" x14ac:dyDescent="0.25">
      <c r="A86" s="3">
        <v>44230</v>
      </c>
      <c r="B86" s="6" t="s">
        <v>108</v>
      </c>
      <c r="C86" s="4" t="s">
        <v>22</v>
      </c>
      <c r="D86" s="5">
        <v>141.57</v>
      </c>
      <c r="E86" s="1">
        <v>2</v>
      </c>
      <c r="F86" s="1">
        <f>InputData[[#This Row],[UNIT PRICE ($)]]*InputData[[#This Row],[QUANTITY]]</f>
        <v>283.14</v>
      </c>
      <c r="G86" s="1" t="str">
        <f>VLOOKUP(InputData[[#This Row],[CUSTOMER NAME]],Country[#All],2,0)</f>
        <v>India</v>
      </c>
      <c r="H86" s="1" t="str">
        <f>VLOOKUP(InputData[[#This Row],[CUSTOMER NAME]],Country[#All],3,0)</f>
        <v>North</v>
      </c>
      <c r="I86" s="1" t="str">
        <f>TEXT(InputData[[#This Row],[DATE]],"MMM")</f>
        <v>Feb</v>
      </c>
      <c r="J86" s="1">
        <f>WEEKNUM(InputData[[#This Row],[DATE]])</f>
        <v>6</v>
      </c>
    </row>
    <row r="87" spans="1:10" x14ac:dyDescent="0.25">
      <c r="A87" s="3">
        <v>44230</v>
      </c>
      <c r="B87" s="6" t="s">
        <v>110</v>
      </c>
      <c r="C87" s="4" t="s">
        <v>19</v>
      </c>
      <c r="D87" s="5">
        <v>210</v>
      </c>
      <c r="E87" s="1">
        <v>39</v>
      </c>
      <c r="F87" s="1">
        <f>InputData[[#This Row],[UNIT PRICE ($)]]*InputData[[#This Row],[QUANTITY]]</f>
        <v>8190</v>
      </c>
      <c r="G87" s="1" t="str">
        <f>VLOOKUP(InputData[[#This Row],[CUSTOMER NAME]],Country[#All],2,0)</f>
        <v>India</v>
      </c>
      <c r="H87" s="1" t="str">
        <f>VLOOKUP(InputData[[#This Row],[CUSTOMER NAME]],Country[#All],3,0)</f>
        <v>Western</v>
      </c>
      <c r="I87" s="1" t="str">
        <f>TEXT(InputData[[#This Row],[DATE]],"MMM")</f>
        <v>Feb</v>
      </c>
      <c r="J87" s="1">
        <f>WEEKNUM(InputData[[#This Row],[DATE]])</f>
        <v>6</v>
      </c>
    </row>
    <row r="88" spans="1:10" x14ac:dyDescent="0.25">
      <c r="A88" s="3">
        <v>44230</v>
      </c>
      <c r="B88" s="6" t="s">
        <v>84</v>
      </c>
      <c r="C88" s="4" t="s">
        <v>38</v>
      </c>
      <c r="D88" s="5">
        <v>79.92</v>
      </c>
      <c r="E88" s="1">
        <v>27</v>
      </c>
      <c r="F88" s="1">
        <f>InputData[[#This Row],[UNIT PRICE ($)]]*InputData[[#This Row],[QUANTITY]]</f>
        <v>2157.84</v>
      </c>
      <c r="G88" s="1" t="str">
        <f>VLOOKUP(InputData[[#This Row],[CUSTOMER NAME]],Country[#All],2,0)</f>
        <v>Ethiopia</v>
      </c>
      <c r="H88" s="1" t="str">
        <f>VLOOKUP(InputData[[#This Row],[CUSTOMER NAME]],Country[#All],3,0)</f>
        <v>Export</v>
      </c>
      <c r="I88" s="1" t="str">
        <f>TEXT(InputData[[#This Row],[DATE]],"MMM")</f>
        <v>Feb</v>
      </c>
      <c r="J88" s="1">
        <f>WEEKNUM(InputData[[#This Row],[DATE]])</f>
        <v>6</v>
      </c>
    </row>
    <row r="89" spans="1:10" x14ac:dyDescent="0.25">
      <c r="A89" s="3">
        <v>44230</v>
      </c>
      <c r="B89" s="6" t="s">
        <v>86</v>
      </c>
      <c r="C89" s="4" t="s">
        <v>14</v>
      </c>
      <c r="D89" s="5">
        <v>146.72</v>
      </c>
      <c r="E89" s="1">
        <v>8</v>
      </c>
      <c r="F89" s="1">
        <f>InputData[[#This Row],[UNIT PRICE ($)]]*InputData[[#This Row],[QUANTITY]]</f>
        <v>1173.76</v>
      </c>
      <c r="G89" s="1" t="str">
        <f>VLOOKUP(InputData[[#This Row],[CUSTOMER NAME]],Country[#All],2,0)</f>
        <v>India</v>
      </c>
      <c r="H89" s="1" t="str">
        <f>VLOOKUP(InputData[[#This Row],[CUSTOMER NAME]],Country[#All],3,0)</f>
        <v>South</v>
      </c>
      <c r="I89" s="1" t="str">
        <f>TEXT(InputData[[#This Row],[DATE]],"MMM")</f>
        <v>Feb</v>
      </c>
      <c r="J89" s="1">
        <f>WEEKNUM(InputData[[#This Row],[DATE]])</f>
        <v>6</v>
      </c>
    </row>
    <row r="90" spans="1:10" x14ac:dyDescent="0.25">
      <c r="A90" s="3">
        <v>44230</v>
      </c>
      <c r="B90" s="6" t="s">
        <v>88</v>
      </c>
      <c r="C90" s="4" t="s">
        <v>16</v>
      </c>
      <c r="D90" s="5">
        <v>16.64</v>
      </c>
      <c r="E90" s="1">
        <v>13</v>
      </c>
      <c r="F90" s="1">
        <f>InputData[[#This Row],[UNIT PRICE ($)]]*InputData[[#This Row],[QUANTITY]]</f>
        <v>216.32</v>
      </c>
      <c r="G90" s="1" t="str">
        <f>VLOOKUP(InputData[[#This Row],[CUSTOMER NAME]],Country[#All],2,0)</f>
        <v>India</v>
      </c>
      <c r="H90" s="1" t="str">
        <f>VLOOKUP(InputData[[#This Row],[CUSTOMER NAME]],Country[#All],3,0)</f>
        <v>South</v>
      </c>
      <c r="I90" s="1" t="str">
        <f>TEXT(InputData[[#This Row],[DATE]],"MMM")</f>
        <v>Feb</v>
      </c>
      <c r="J90" s="1">
        <f>WEEKNUM(InputData[[#This Row],[DATE]])</f>
        <v>6</v>
      </c>
    </row>
    <row r="91" spans="1:10" x14ac:dyDescent="0.25">
      <c r="A91" s="3">
        <v>44231</v>
      </c>
      <c r="B91" s="6" t="s">
        <v>113</v>
      </c>
      <c r="C91" s="4" t="s">
        <v>44</v>
      </c>
      <c r="D91" s="5">
        <v>82.08</v>
      </c>
      <c r="E91" s="1">
        <v>39</v>
      </c>
      <c r="F91" s="1">
        <f>InputData[[#This Row],[UNIT PRICE ($)]]*InputData[[#This Row],[QUANTITY]]</f>
        <v>3201.12</v>
      </c>
      <c r="G91" s="1" t="str">
        <f>VLOOKUP(InputData[[#This Row],[CUSTOMER NAME]],Country[#All],2,0)</f>
        <v>Pakistan</v>
      </c>
      <c r="H91" s="1" t="str">
        <f>VLOOKUP(InputData[[#This Row],[CUSTOMER NAME]],Country[#All],3,0)</f>
        <v>Export</v>
      </c>
      <c r="I91" s="1" t="str">
        <f>TEXT(InputData[[#This Row],[DATE]],"MMM")</f>
        <v>Feb</v>
      </c>
      <c r="J91" s="1">
        <f>WEEKNUM(InputData[[#This Row],[DATE]])</f>
        <v>6</v>
      </c>
    </row>
    <row r="92" spans="1:10" x14ac:dyDescent="0.25">
      <c r="A92" s="3">
        <v>44231</v>
      </c>
      <c r="B92" s="6" t="s">
        <v>84</v>
      </c>
      <c r="C92" s="4" t="s">
        <v>37</v>
      </c>
      <c r="D92" s="5">
        <v>85.76</v>
      </c>
      <c r="E92" s="1">
        <v>4</v>
      </c>
      <c r="F92" s="1">
        <f>InputData[[#This Row],[UNIT PRICE ($)]]*InputData[[#This Row],[QUANTITY]]</f>
        <v>343.04</v>
      </c>
      <c r="G92" s="1" t="str">
        <f>VLOOKUP(InputData[[#This Row],[CUSTOMER NAME]],Country[#All],2,0)</f>
        <v>Ethiopia</v>
      </c>
      <c r="H92" s="1" t="str">
        <f>VLOOKUP(InputData[[#This Row],[CUSTOMER NAME]],Country[#All],3,0)</f>
        <v>Export</v>
      </c>
      <c r="I92" s="1" t="str">
        <f>TEXT(InputData[[#This Row],[DATE]],"MMM")</f>
        <v>Feb</v>
      </c>
      <c r="J92" s="1">
        <f>WEEKNUM(InputData[[#This Row],[DATE]])</f>
        <v>6</v>
      </c>
    </row>
    <row r="93" spans="1:10" x14ac:dyDescent="0.25">
      <c r="A93" s="3">
        <v>44231</v>
      </c>
      <c r="B93" s="6" t="s">
        <v>85</v>
      </c>
      <c r="C93" s="4" t="s">
        <v>14</v>
      </c>
      <c r="D93" s="5">
        <v>146.72</v>
      </c>
      <c r="E93" s="1">
        <v>26</v>
      </c>
      <c r="F93" s="1">
        <f>InputData[[#This Row],[UNIT PRICE ($)]]*InputData[[#This Row],[QUANTITY]]</f>
        <v>3814.72</v>
      </c>
      <c r="G93" s="1" t="str">
        <f>VLOOKUP(InputData[[#This Row],[CUSTOMER NAME]],Country[#All],2,0)</f>
        <v>India</v>
      </c>
      <c r="H93" s="1" t="str">
        <f>VLOOKUP(InputData[[#This Row],[CUSTOMER NAME]],Country[#All],3,0)</f>
        <v>Northeast</v>
      </c>
      <c r="I93" s="1" t="str">
        <f>TEXT(InputData[[#This Row],[DATE]],"MMM")</f>
        <v>Feb</v>
      </c>
      <c r="J93" s="1">
        <f>WEEKNUM(InputData[[#This Row],[DATE]])</f>
        <v>6</v>
      </c>
    </row>
    <row r="94" spans="1:10" x14ac:dyDescent="0.25">
      <c r="A94" s="3">
        <v>44231</v>
      </c>
      <c r="B94" s="6" t="s">
        <v>86</v>
      </c>
      <c r="C94" s="4" t="s">
        <v>25</v>
      </c>
      <c r="D94" s="5">
        <v>8.33</v>
      </c>
      <c r="E94" s="1">
        <v>3</v>
      </c>
      <c r="F94" s="1">
        <f>InputData[[#This Row],[UNIT PRICE ($)]]*InputData[[#This Row],[QUANTITY]]</f>
        <v>24.990000000000002</v>
      </c>
      <c r="G94" s="1" t="str">
        <f>VLOOKUP(InputData[[#This Row],[CUSTOMER NAME]],Country[#All],2,0)</f>
        <v>India</v>
      </c>
      <c r="H94" s="1" t="str">
        <f>VLOOKUP(InputData[[#This Row],[CUSTOMER NAME]],Country[#All],3,0)</f>
        <v>South</v>
      </c>
      <c r="I94" s="1" t="str">
        <f>TEXT(InputData[[#This Row],[DATE]],"MMM")</f>
        <v>Feb</v>
      </c>
      <c r="J94" s="1">
        <f>WEEKNUM(InputData[[#This Row],[DATE]])</f>
        <v>6</v>
      </c>
    </row>
    <row r="95" spans="1:10" x14ac:dyDescent="0.25">
      <c r="A95" s="3">
        <v>44232</v>
      </c>
      <c r="B95" s="6" t="s">
        <v>60</v>
      </c>
      <c r="C95" s="4" t="s">
        <v>3</v>
      </c>
      <c r="D95" s="5">
        <v>80.94</v>
      </c>
      <c r="E95" s="1">
        <v>24</v>
      </c>
      <c r="F95" s="1">
        <f>InputData[[#This Row],[UNIT PRICE ($)]]*InputData[[#This Row],[QUANTITY]]</f>
        <v>1942.56</v>
      </c>
      <c r="G95" s="1" t="str">
        <f>VLOOKUP(InputData[[#This Row],[CUSTOMER NAME]],Country[#All],2,0)</f>
        <v>Nigeria</v>
      </c>
      <c r="H95" s="1" t="str">
        <f>VLOOKUP(InputData[[#This Row],[CUSTOMER NAME]],Country[#All],3,0)</f>
        <v>Export</v>
      </c>
      <c r="I95" s="1" t="str">
        <f>TEXT(InputData[[#This Row],[DATE]],"MMM")</f>
        <v>Feb</v>
      </c>
      <c r="J95" s="1">
        <f>WEEKNUM(InputData[[#This Row],[DATE]])</f>
        <v>6</v>
      </c>
    </row>
    <row r="96" spans="1:10" x14ac:dyDescent="0.25">
      <c r="A96" s="3">
        <v>44232</v>
      </c>
      <c r="B96" s="6" t="s">
        <v>109</v>
      </c>
      <c r="C96" s="4" t="s">
        <v>39</v>
      </c>
      <c r="D96" s="5">
        <v>42.55</v>
      </c>
      <c r="E96" s="1">
        <v>38</v>
      </c>
      <c r="F96" s="1">
        <f>InputData[[#This Row],[UNIT PRICE ($)]]*InputData[[#This Row],[QUANTITY]]</f>
        <v>1616.8999999999999</v>
      </c>
      <c r="G96" s="1" t="str">
        <f>VLOOKUP(InputData[[#This Row],[CUSTOMER NAME]],Country[#All],2,0)</f>
        <v>Pakistan</v>
      </c>
      <c r="H96" s="1" t="str">
        <f>VLOOKUP(InputData[[#This Row],[CUSTOMER NAME]],Country[#All],3,0)</f>
        <v>Export</v>
      </c>
      <c r="I96" s="1" t="str">
        <f>TEXT(InputData[[#This Row],[DATE]],"MMM")</f>
        <v>Feb</v>
      </c>
      <c r="J96" s="1">
        <f>WEEKNUM(InputData[[#This Row],[DATE]])</f>
        <v>6</v>
      </c>
    </row>
    <row r="97" spans="1:10" x14ac:dyDescent="0.25">
      <c r="A97" s="3">
        <v>44232</v>
      </c>
      <c r="B97" s="6" t="s">
        <v>70</v>
      </c>
      <c r="C97" s="4" t="s">
        <v>5</v>
      </c>
      <c r="D97" s="5">
        <v>155.61000000000001</v>
      </c>
      <c r="E97" s="1">
        <v>1</v>
      </c>
      <c r="F97" s="1">
        <f>InputData[[#This Row],[UNIT PRICE ($)]]*InputData[[#This Row],[QUANTITY]]</f>
        <v>155.61000000000001</v>
      </c>
      <c r="G97" s="1" t="str">
        <f>VLOOKUP(InputData[[#This Row],[CUSTOMER NAME]],Country[#All],2,0)</f>
        <v>Mexico</v>
      </c>
      <c r="H97" s="1" t="str">
        <f>VLOOKUP(InputData[[#This Row],[CUSTOMER NAME]],Country[#All],3,0)</f>
        <v>Export</v>
      </c>
      <c r="I97" s="1" t="str">
        <f>TEXT(InputData[[#This Row],[DATE]],"MMM")</f>
        <v>Feb</v>
      </c>
      <c r="J97" s="1">
        <f>WEEKNUM(InputData[[#This Row],[DATE]])</f>
        <v>6</v>
      </c>
    </row>
    <row r="98" spans="1:10" x14ac:dyDescent="0.25">
      <c r="A98" s="3">
        <v>44232</v>
      </c>
      <c r="B98" s="6" t="s">
        <v>75</v>
      </c>
      <c r="C98" s="4" t="s">
        <v>43</v>
      </c>
      <c r="D98" s="5">
        <v>83.08</v>
      </c>
      <c r="E98" s="1">
        <v>7</v>
      </c>
      <c r="F98" s="1">
        <f>InputData[[#This Row],[UNIT PRICE ($)]]*InputData[[#This Row],[QUANTITY]]</f>
        <v>581.55999999999995</v>
      </c>
      <c r="G98" s="1" t="str">
        <f>VLOOKUP(InputData[[#This Row],[CUSTOMER NAME]],Country[#All],2,0)</f>
        <v>Russia</v>
      </c>
      <c r="H98" s="1" t="str">
        <f>VLOOKUP(InputData[[#This Row],[CUSTOMER NAME]],Country[#All],3,0)</f>
        <v>Export</v>
      </c>
      <c r="I98" s="1" t="str">
        <f>TEXT(InputData[[#This Row],[DATE]],"MMM")</f>
        <v>Feb</v>
      </c>
      <c r="J98" s="1">
        <f>WEEKNUM(InputData[[#This Row],[DATE]])</f>
        <v>6</v>
      </c>
    </row>
    <row r="99" spans="1:10" x14ac:dyDescent="0.25">
      <c r="A99" s="3">
        <v>44232</v>
      </c>
      <c r="B99" s="6" t="s">
        <v>79</v>
      </c>
      <c r="C99" s="4" t="s">
        <v>43</v>
      </c>
      <c r="D99" s="5">
        <v>83.08</v>
      </c>
      <c r="E99" s="1">
        <v>9</v>
      </c>
      <c r="F99" s="1">
        <f>InputData[[#This Row],[UNIT PRICE ($)]]*InputData[[#This Row],[QUANTITY]]</f>
        <v>747.72</v>
      </c>
      <c r="G99" s="1" t="str">
        <f>VLOOKUP(InputData[[#This Row],[CUSTOMER NAME]],Country[#All],2,0)</f>
        <v>United Kingdom</v>
      </c>
      <c r="H99" s="1" t="str">
        <f>VLOOKUP(InputData[[#This Row],[CUSTOMER NAME]],Country[#All],3,0)</f>
        <v>Export</v>
      </c>
      <c r="I99" s="1" t="str">
        <f>TEXT(InputData[[#This Row],[DATE]],"MMM")</f>
        <v>Feb</v>
      </c>
      <c r="J99" s="1">
        <f>WEEKNUM(InputData[[#This Row],[DATE]])</f>
        <v>6</v>
      </c>
    </row>
    <row r="100" spans="1:10" x14ac:dyDescent="0.25">
      <c r="A100" s="3">
        <v>44232</v>
      </c>
      <c r="B100" s="6" t="s">
        <v>89</v>
      </c>
      <c r="C100" s="4" t="s">
        <v>18</v>
      </c>
      <c r="D100" s="5">
        <v>49.21</v>
      </c>
      <c r="E100" s="1">
        <v>6</v>
      </c>
      <c r="F100" s="1">
        <f>InputData[[#This Row],[UNIT PRICE ($)]]*InputData[[#This Row],[QUANTITY]]</f>
        <v>295.26</v>
      </c>
      <c r="G100" s="1" t="str">
        <f>VLOOKUP(InputData[[#This Row],[CUSTOMER NAME]],Country[#All],2,0)</f>
        <v>Mexico</v>
      </c>
      <c r="H100" s="1" t="str">
        <f>VLOOKUP(InputData[[#This Row],[CUSTOMER NAME]],Country[#All],3,0)</f>
        <v>Export</v>
      </c>
      <c r="I100" s="1" t="str">
        <f>TEXT(InputData[[#This Row],[DATE]],"MMM")</f>
        <v>Feb</v>
      </c>
      <c r="J100" s="1">
        <f>WEEKNUM(InputData[[#This Row],[DATE]])</f>
        <v>6</v>
      </c>
    </row>
    <row r="101" spans="1:10" x14ac:dyDescent="0.25">
      <c r="A101" s="3">
        <v>44233</v>
      </c>
      <c r="B101" s="6" t="s">
        <v>108</v>
      </c>
      <c r="C101" s="4" t="s">
        <v>9</v>
      </c>
      <c r="D101" s="5">
        <v>7.8599999999999994</v>
      </c>
      <c r="E101" s="1">
        <v>30</v>
      </c>
      <c r="F101" s="1">
        <f>InputData[[#This Row],[UNIT PRICE ($)]]*InputData[[#This Row],[QUANTITY]]</f>
        <v>235.79999999999998</v>
      </c>
      <c r="G101" s="1" t="str">
        <f>VLOOKUP(InputData[[#This Row],[CUSTOMER NAME]],Country[#All],2,0)</f>
        <v>India</v>
      </c>
      <c r="H101" s="1" t="str">
        <f>VLOOKUP(InputData[[#This Row],[CUSTOMER NAME]],Country[#All],3,0)</f>
        <v>North</v>
      </c>
      <c r="I101" s="1" t="str">
        <f>TEXT(InputData[[#This Row],[DATE]],"MMM")</f>
        <v>Feb</v>
      </c>
      <c r="J101" s="1">
        <f>WEEKNUM(InputData[[#This Row],[DATE]])</f>
        <v>6</v>
      </c>
    </row>
    <row r="102" spans="1:10" x14ac:dyDescent="0.25">
      <c r="A102" s="3">
        <v>44233</v>
      </c>
      <c r="B102" s="6" t="s">
        <v>81</v>
      </c>
      <c r="C102" s="4" t="s">
        <v>2</v>
      </c>
      <c r="D102" s="5">
        <v>142.80000000000001</v>
      </c>
      <c r="E102" s="1">
        <v>6</v>
      </c>
      <c r="F102" s="1">
        <f>InputData[[#This Row],[UNIT PRICE ($)]]*InputData[[#This Row],[QUANTITY]]</f>
        <v>856.80000000000007</v>
      </c>
      <c r="G102" s="1" t="str">
        <f>VLOOKUP(InputData[[#This Row],[CUSTOMER NAME]],Country[#All],2,0)</f>
        <v>India</v>
      </c>
      <c r="H102" s="1" t="str">
        <f>VLOOKUP(InputData[[#This Row],[CUSTOMER NAME]],Country[#All],3,0)</f>
        <v>East</v>
      </c>
      <c r="I102" s="1" t="str">
        <f>TEXT(InputData[[#This Row],[DATE]],"MMM")</f>
        <v>Feb</v>
      </c>
      <c r="J102" s="1">
        <f>WEEKNUM(InputData[[#This Row],[DATE]])</f>
        <v>6</v>
      </c>
    </row>
    <row r="103" spans="1:10" x14ac:dyDescent="0.25">
      <c r="A103" s="3">
        <v>44233</v>
      </c>
      <c r="B103" s="6" t="s">
        <v>88</v>
      </c>
      <c r="C103" s="4" t="s">
        <v>35</v>
      </c>
      <c r="D103" s="5">
        <v>6.7</v>
      </c>
      <c r="E103" s="1">
        <v>1</v>
      </c>
      <c r="F103" s="1">
        <f>InputData[[#This Row],[UNIT PRICE ($)]]*InputData[[#This Row],[QUANTITY]]</f>
        <v>6.7</v>
      </c>
      <c r="G103" s="1" t="str">
        <f>VLOOKUP(InputData[[#This Row],[CUSTOMER NAME]],Country[#All],2,0)</f>
        <v>India</v>
      </c>
      <c r="H103" s="1" t="str">
        <f>VLOOKUP(InputData[[#This Row],[CUSTOMER NAME]],Country[#All],3,0)</f>
        <v>South</v>
      </c>
      <c r="I103" s="1" t="str">
        <f>TEXT(InputData[[#This Row],[DATE]],"MMM")</f>
        <v>Feb</v>
      </c>
      <c r="J103" s="1">
        <f>WEEKNUM(InputData[[#This Row],[DATE]])</f>
        <v>6</v>
      </c>
    </row>
    <row r="104" spans="1:10" x14ac:dyDescent="0.25">
      <c r="A104" s="3">
        <v>44234</v>
      </c>
      <c r="B104" s="6" t="s">
        <v>67</v>
      </c>
      <c r="C104" s="4" t="s">
        <v>35</v>
      </c>
      <c r="D104" s="5">
        <v>6.7</v>
      </c>
      <c r="E104" s="1">
        <v>29</v>
      </c>
      <c r="F104" s="1">
        <f>InputData[[#This Row],[UNIT PRICE ($)]]*InputData[[#This Row],[QUANTITY]]</f>
        <v>194.3</v>
      </c>
      <c r="G104" s="1" t="str">
        <f>VLOOKUP(InputData[[#This Row],[CUSTOMER NAME]],Country[#All],2,0)</f>
        <v>United Kingdom</v>
      </c>
      <c r="H104" s="1" t="str">
        <f>VLOOKUP(InputData[[#This Row],[CUSTOMER NAME]],Country[#All],3,0)</f>
        <v>Export</v>
      </c>
      <c r="I104" s="1" t="str">
        <f>TEXT(InputData[[#This Row],[DATE]],"MMM")</f>
        <v>Feb</v>
      </c>
      <c r="J104" s="1">
        <f>WEEKNUM(InputData[[#This Row],[DATE]])</f>
        <v>7</v>
      </c>
    </row>
    <row r="105" spans="1:10" x14ac:dyDescent="0.25">
      <c r="A105" s="3">
        <v>44234</v>
      </c>
      <c r="B105" s="6" t="s">
        <v>84</v>
      </c>
      <c r="C105" s="4" t="s">
        <v>16</v>
      </c>
      <c r="D105" s="5">
        <v>16.64</v>
      </c>
      <c r="E105" s="1">
        <v>5</v>
      </c>
      <c r="F105" s="1">
        <f>InputData[[#This Row],[UNIT PRICE ($)]]*InputData[[#This Row],[QUANTITY]]</f>
        <v>83.2</v>
      </c>
      <c r="G105" s="1" t="str">
        <f>VLOOKUP(InputData[[#This Row],[CUSTOMER NAME]],Country[#All],2,0)</f>
        <v>Ethiopia</v>
      </c>
      <c r="H105" s="1" t="str">
        <f>VLOOKUP(InputData[[#This Row],[CUSTOMER NAME]],Country[#All],3,0)</f>
        <v>Export</v>
      </c>
      <c r="I105" s="1" t="str">
        <f>TEXT(InputData[[#This Row],[DATE]],"MMM")</f>
        <v>Feb</v>
      </c>
      <c r="J105" s="1">
        <f>WEEKNUM(InputData[[#This Row],[DATE]])</f>
        <v>7</v>
      </c>
    </row>
    <row r="106" spans="1:10" x14ac:dyDescent="0.25">
      <c r="A106" s="3">
        <v>44235</v>
      </c>
      <c r="B106" s="6" t="s">
        <v>62</v>
      </c>
      <c r="C106" s="4" t="s">
        <v>4</v>
      </c>
      <c r="D106" s="5">
        <v>48.84</v>
      </c>
      <c r="E106" s="1">
        <v>3</v>
      </c>
      <c r="F106" s="1">
        <f>InputData[[#This Row],[UNIT PRICE ($)]]*InputData[[#This Row],[QUANTITY]]</f>
        <v>146.52000000000001</v>
      </c>
      <c r="G106" s="1" t="str">
        <f>VLOOKUP(InputData[[#This Row],[CUSTOMER NAME]],Country[#All],2,0)</f>
        <v>India</v>
      </c>
      <c r="H106" s="1" t="str">
        <f>VLOOKUP(InputData[[#This Row],[CUSTOMER NAME]],Country[#All],3,0)</f>
        <v>Northeast</v>
      </c>
      <c r="I106" s="1" t="str">
        <f>TEXT(InputData[[#This Row],[DATE]],"MMM")</f>
        <v>Feb</v>
      </c>
      <c r="J106" s="1">
        <f>WEEKNUM(InputData[[#This Row],[DATE]])</f>
        <v>7</v>
      </c>
    </row>
    <row r="107" spans="1:10" x14ac:dyDescent="0.25">
      <c r="A107" s="3">
        <v>44235</v>
      </c>
      <c r="B107" s="6" t="s">
        <v>109</v>
      </c>
      <c r="C107" s="4" t="s">
        <v>5</v>
      </c>
      <c r="D107" s="5">
        <v>155.61000000000001</v>
      </c>
      <c r="E107" s="1">
        <v>11</v>
      </c>
      <c r="F107" s="1">
        <f>InputData[[#This Row],[UNIT PRICE ($)]]*InputData[[#This Row],[QUANTITY]]</f>
        <v>1711.71</v>
      </c>
      <c r="G107" s="1" t="str">
        <f>VLOOKUP(InputData[[#This Row],[CUSTOMER NAME]],Country[#All],2,0)</f>
        <v>Pakistan</v>
      </c>
      <c r="H107" s="1" t="str">
        <f>VLOOKUP(InputData[[#This Row],[CUSTOMER NAME]],Country[#All],3,0)</f>
        <v>Export</v>
      </c>
      <c r="I107" s="1" t="str">
        <f>TEXT(InputData[[#This Row],[DATE]],"MMM")</f>
        <v>Feb</v>
      </c>
      <c r="J107" s="1">
        <f>WEEKNUM(InputData[[#This Row],[DATE]])</f>
        <v>7</v>
      </c>
    </row>
    <row r="108" spans="1:10" x14ac:dyDescent="0.25">
      <c r="A108" s="3">
        <v>44235</v>
      </c>
      <c r="B108" s="6" t="s">
        <v>65</v>
      </c>
      <c r="C108" s="4" t="s">
        <v>40</v>
      </c>
      <c r="D108" s="5">
        <v>115.2</v>
      </c>
      <c r="E108" s="1">
        <v>39</v>
      </c>
      <c r="F108" s="1">
        <f>InputData[[#This Row],[UNIT PRICE ($)]]*InputData[[#This Row],[QUANTITY]]</f>
        <v>4492.8</v>
      </c>
      <c r="G108" s="1" t="str">
        <f>VLOOKUP(InputData[[#This Row],[CUSTOMER NAME]],Country[#All],2,0)</f>
        <v>Pakistan</v>
      </c>
      <c r="H108" s="1" t="str">
        <f>VLOOKUP(InputData[[#This Row],[CUSTOMER NAME]],Country[#All],3,0)</f>
        <v>Export</v>
      </c>
      <c r="I108" s="1" t="str">
        <f>TEXT(InputData[[#This Row],[DATE]],"MMM")</f>
        <v>Feb</v>
      </c>
      <c r="J108" s="1">
        <f>WEEKNUM(InputData[[#This Row],[DATE]])</f>
        <v>7</v>
      </c>
    </row>
    <row r="109" spans="1:10" x14ac:dyDescent="0.25">
      <c r="A109" s="3">
        <v>44235</v>
      </c>
      <c r="B109" s="6" t="s">
        <v>65</v>
      </c>
      <c r="C109" s="4" t="s">
        <v>30</v>
      </c>
      <c r="D109" s="5">
        <v>201.28</v>
      </c>
      <c r="E109" s="1">
        <v>12</v>
      </c>
      <c r="F109" s="1">
        <f>InputData[[#This Row],[UNIT PRICE ($)]]*InputData[[#This Row],[QUANTITY]]</f>
        <v>2415.36</v>
      </c>
      <c r="G109" s="1" t="str">
        <f>VLOOKUP(InputData[[#This Row],[CUSTOMER NAME]],Country[#All],2,0)</f>
        <v>Pakistan</v>
      </c>
      <c r="H109" s="1" t="str">
        <f>VLOOKUP(InputData[[#This Row],[CUSTOMER NAME]],Country[#All],3,0)</f>
        <v>Export</v>
      </c>
      <c r="I109" s="1" t="str">
        <f>TEXT(InputData[[#This Row],[DATE]],"MMM")</f>
        <v>Feb</v>
      </c>
      <c r="J109" s="1">
        <f>WEEKNUM(InputData[[#This Row],[DATE]])</f>
        <v>7</v>
      </c>
    </row>
    <row r="110" spans="1:10" x14ac:dyDescent="0.25">
      <c r="A110" s="3">
        <v>44236</v>
      </c>
      <c r="B110" s="6" t="s">
        <v>75</v>
      </c>
      <c r="C110" s="4" t="s">
        <v>34</v>
      </c>
      <c r="D110" s="5">
        <v>58.3</v>
      </c>
      <c r="E110" s="1">
        <v>14</v>
      </c>
      <c r="F110" s="1">
        <f>InputData[[#This Row],[UNIT PRICE ($)]]*InputData[[#This Row],[QUANTITY]]</f>
        <v>816.19999999999993</v>
      </c>
      <c r="G110" s="1" t="str">
        <f>VLOOKUP(InputData[[#This Row],[CUSTOMER NAME]],Country[#All],2,0)</f>
        <v>Russia</v>
      </c>
      <c r="H110" s="1" t="str">
        <f>VLOOKUP(InputData[[#This Row],[CUSTOMER NAME]],Country[#All],3,0)</f>
        <v>Export</v>
      </c>
      <c r="I110" s="1" t="str">
        <f>TEXT(InputData[[#This Row],[DATE]],"MMM")</f>
        <v>Feb</v>
      </c>
      <c r="J110" s="1">
        <f>WEEKNUM(InputData[[#This Row],[DATE]])</f>
        <v>7</v>
      </c>
    </row>
    <row r="111" spans="1:10" x14ac:dyDescent="0.25">
      <c r="A111" s="3">
        <v>44236</v>
      </c>
      <c r="B111" s="6" t="s">
        <v>75</v>
      </c>
      <c r="C111" s="4" t="s">
        <v>21</v>
      </c>
      <c r="D111" s="5">
        <v>162.54</v>
      </c>
      <c r="E111" s="1">
        <v>32</v>
      </c>
      <c r="F111" s="1">
        <f>InputData[[#This Row],[UNIT PRICE ($)]]*InputData[[#This Row],[QUANTITY]]</f>
        <v>5201.28</v>
      </c>
      <c r="G111" s="1" t="str">
        <f>VLOOKUP(InputData[[#This Row],[CUSTOMER NAME]],Country[#All],2,0)</f>
        <v>Russia</v>
      </c>
      <c r="H111" s="1" t="str">
        <f>VLOOKUP(InputData[[#This Row],[CUSTOMER NAME]],Country[#All],3,0)</f>
        <v>Export</v>
      </c>
      <c r="I111" s="1" t="str">
        <f>TEXT(InputData[[#This Row],[DATE]],"MMM")</f>
        <v>Feb</v>
      </c>
      <c r="J111" s="1">
        <f>WEEKNUM(InputData[[#This Row],[DATE]])</f>
        <v>7</v>
      </c>
    </row>
    <row r="112" spans="1:10" x14ac:dyDescent="0.25">
      <c r="A112" s="3">
        <v>44236</v>
      </c>
      <c r="B112" s="6" t="s">
        <v>89</v>
      </c>
      <c r="C112" s="4" t="s">
        <v>32</v>
      </c>
      <c r="D112" s="5">
        <v>117.48</v>
      </c>
      <c r="E112" s="1">
        <v>14</v>
      </c>
      <c r="F112" s="1">
        <f>InputData[[#This Row],[UNIT PRICE ($)]]*InputData[[#This Row],[QUANTITY]]</f>
        <v>1644.72</v>
      </c>
      <c r="G112" s="1" t="str">
        <f>VLOOKUP(InputData[[#This Row],[CUSTOMER NAME]],Country[#All],2,0)</f>
        <v>Mexico</v>
      </c>
      <c r="H112" s="1" t="str">
        <f>VLOOKUP(InputData[[#This Row],[CUSTOMER NAME]],Country[#All],3,0)</f>
        <v>Export</v>
      </c>
      <c r="I112" s="1" t="str">
        <f>TEXT(InputData[[#This Row],[DATE]],"MMM")</f>
        <v>Feb</v>
      </c>
      <c r="J112" s="1">
        <f>WEEKNUM(InputData[[#This Row],[DATE]])</f>
        <v>7</v>
      </c>
    </row>
    <row r="113" spans="1:10" x14ac:dyDescent="0.25">
      <c r="A113" s="3">
        <v>44237</v>
      </c>
      <c r="B113" s="6" t="s">
        <v>63</v>
      </c>
      <c r="C113" s="4" t="s">
        <v>19</v>
      </c>
      <c r="D113" s="5">
        <v>210</v>
      </c>
      <c r="E113" s="1">
        <v>4</v>
      </c>
      <c r="F113" s="1">
        <f>InputData[[#This Row],[UNIT PRICE ($)]]*InputData[[#This Row],[QUANTITY]]</f>
        <v>840</v>
      </c>
      <c r="G113" s="1" t="str">
        <f>VLOOKUP(InputData[[#This Row],[CUSTOMER NAME]],Country[#All],2,0)</f>
        <v>Saudi Arabia</v>
      </c>
      <c r="H113" s="1" t="str">
        <f>VLOOKUP(InputData[[#This Row],[CUSTOMER NAME]],Country[#All],3,0)</f>
        <v>Export</v>
      </c>
      <c r="I113" s="1" t="str">
        <f>TEXT(InputData[[#This Row],[DATE]],"MMM")</f>
        <v>Feb</v>
      </c>
      <c r="J113" s="1">
        <f>WEEKNUM(InputData[[#This Row],[DATE]])</f>
        <v>7</v>
      </c>
    </row>
    <row r="114" spans="1:10" x14ac:dyDescent="0.25">
      <c r="A114" s="3">
        <v>44237</v>
      </c>
      <c r="B114" s="6" t="s">
        <v>78</v>
      </c>
      <c r="C114" s="4" t="s">
        <v>8</v>
      </c>
      <c r="D114" s="5">
        <v>94.62</v>
      </c>
      <c r="E114" s="1">
        <v>38</v>
      </c>
      <c r="F114" s="1">
        <f>InputData[[#This Row],[UNIT PRICE ($)]]*InputData[[#This Row],[QUANTITY]]</f>
        <v>3595.5600000000004</v>
      </c>
      <c r="G114" s="1" t="str">
        <f>VLOOKUP(InputData[[#This Row],[CUSTOMER NAME]],Country[#All],2,0)</f>
        <v>India</v>
      </c>
      <c r="H114" s="1" t="str">
        <f>VLOOKUP(InputData[[#This Row],[CUSTOMER NAME]],Country[#All],3,0)</f>
        <v>Central</v>
      </c>
      <c r="I114" s="1" t="str">
        <f>TEXT(InputData[[#This Row],[DATE]],"MMM")</f>
        <v>Feb</v>
      </c>
      <c r="J114" s="1">
        <f>WEEKNUM(InputData[[#This Row],[DATE]])</f>
        <v>7</v>
      </c>
    </row>
    <row r="115" spans="1:10" x14ac:dyDescent="0.25">
      <c r="A115" s="3">
        <v>44239</v>
      </c>
      <c r="B115" s="6" t="s">
        <v>60</v>
      </c>
      <c r="C115" s="4" t="s">
        <v>23</v>
      </c>
      <c r="D115" s="5">
        <v>149.46</v>
      </c>
      <c r="E115" s="1">
        <v>9</v>
      </c>
      <c r="F115" s="1">
        <f>InputData[[#This Row],[UNIT PRICE ($)]]*InputData[[#This Row],[QUANTITY]]</f>
        <v>1345.14</v>
      </c>
      <c r="G115" s="1" t="str">
        <f>VLOOKUP(InputData[[#This Row],[CUSTOMER NAME]],Country[#All],2,0)</f>
        <v>Nigeria</v>
      </c>
      <c r="H115" s="1" t="str">
        <f>VLOOKUP(InputData[[#This Row],[CUSTOMER NAME]],Country[#All],3,0)</f>
        <v>Export</v>
      </c>
      <c r="I115" s="1" t="str">
        <f>TEXT(InputData[[#This Row],[DATE]],"MMM")</f>
        <v>Feb</v>
      </c>
      <c r="J115" s="1">
        <f>WEEKNUM(InputData[[#This Row],[DATE]])</f>
        <v>7</v>
      </c>
    </row>
    <row r="116" spans="1:10" x14ac:dyDescent="0.25">
      <c r="A116" s="3">
        <v>44239</v>
      </c>
      <c r="B116" s="6" t="s">
        <v>110</v>
      </c>
      <c r="C116" s="4" t="s">
        <v>10</v>
      </c>
      <c r="D116" s="5">
        <v>164.28</v>
      </c>
      <c r="E116" s="1">
        <v>13</v>
      </c>
      <c r="F116" s="1">
        <f>InputData[[#This Row],[UNIT PRICE ($)]]*InputData[[#This Row],[QUANTITY]]</f>
        <v>2135.64</v>
      </c>
      <c r="G116" s="1" t="str">
        <f>VLOOKUP(InputData[[#This Row],[CUSTOMER NAME]],Country[#All],2,0)</f>
        <v>India</v>
      </c>
      <c r="H116" s="1" t="str">
        <f>VLOOKUP(InputData[[#This Row],[CUSTOMER NAME]],Country[#All],3,0)</f>
        <v>Western</v>
      </c>
      <c r="I116" s="1" t="str">
        <f>TEXT(InputData[[#This Row],[DATE]],"MMM")</f>
        <v>Feb</v>
      </c>
      <c r="J116" s="1">
        <f>WEEKNUM(InputData[[#This Row],[DATE]])</f>
        <v>7</v>
      </c>
    </row>
    <row r="117" spans="1:10" x14ac:dyDescent="0.25">
      <c r="A117" s="3">
        <v>44239</v>
      </c>
      <c r="B117" s="6" t="s">
        <v>74</v>
      </c>
      <c r="C117" s="4" t="s">
        <v>8</v>
      </c>
      <c r="D117" s="5">
        <v>94.62</v>
      </c>
      <c r="E117" s="1">
        <v>7</v>
      </c>
      <c r="F117" s="1">
        <f>InputData[[#This Row],[UNIT PRICE ($)]]*InputData[[#This Row],[QUANTITY]]</f>
        <v>662.34</v>
      </c>
      <c r="G117" s="1" t="str">
        <f>VLOOKUP(InputData[[#This Row],[CUSTOMER NAME]],Country[#All],2,0)</f>
        <v>Brazil</v>
      </c>
      <c r="H117" s="1" t="str">
        <f>VLOOKUP(InputData[[#This Row],[CUSTOMER NAME]],Country[#All],3,0)</f>
        <v>Export</v>
      </c>
      <c r="I117" s="1" t="str">
        <f>TEXT(InputData[[#This Row],[DATE]],"MMM")</f>
        <v>Feb</v>
      </c>
      <c r="J117" s="1">
        <f>WEEKNUM(InputData[[#This Row],[DATE]])</f>
        <v>7</v>
      </c>
    </row>
    <row r="118" spans="1:10" x14ac:dyDescent="0.25">
      <c r="A118" s="3">
        <v>44240</v>
      </c>
      <c r="B118" s="6" t="s">
        <v>110</v>
      </c>
      <c r="C118" s="4" t="s">
        <v>3</v>
      </c>
      <c r="D118" s="5">
        <v>80.94</v>
      </c>
      <c r="E118" s="1">
        <v>17</v>
      </c>
      <c r="F118" s="1">
        <f>InputData[[#This Row],[UNIT PRICE ($)]]*InputData[[#This Row],[QUANTITY]]</f>
        <v>1375.98</v>
      </c>
      <c r="G118" s="1" t="str">
        <f>VLOOKUP(InputData[[#This Row],[CUSTOMER NAME]],Country[#All],2,0)</f>
        <v>India</v>
      </c>
      <c r="H118" s="1" t="str">
        <f>VLOOKUP(InputData[[#This Row],[CUSTOMER NAME]],Country[#All],3,0)</f>
        <v>Western</v>
      </c>
      <c r="I118" s="1" t="str">
        <f>TEXT(InputData[[#This Row],[DATE]],"MMM")</f>
        <v>Feb</v>
      </c>
      <c r="J118" s="1">
        <f>WEEKNUM(InputData[[#This Row],[DATE]])</f>
        <v>7</v>
      </c>
    </row>
    <row r="119" spans="1:10" x14ac:dyDescent="0.25">
      <c r="A119" s="3">
        <v>44240</v>
      </c>
      <c r="B119" s="6" t="s">
        <v>113</v>
      </c>
      <c r="C119" s="4" t="s">
        <v>5</v>
      </c>
      <c r="D119" s="5">
        <v>155.61000000000001</v>
      </c>
      <c r="E119" s="1">
        <v>35</v>
      </c>
      <c r="F119" s="1">
        <f>InputData[[#This Row],[UNIT PRICE ($)]]*InputData[[#This Row],[QUANTITY]]</f>
        <v>5446.35</v>
      </c>
      <c r="G119" s="1" t="str">
        <f>VLOOKUP(InputData[[#This Row],[CUSTOMER NAME]],Country[#All],2,0)</f>
        <v>Pakistan</v>
      </c>
      <c r="H119" s="1" t="str">
        <f>VLOOKUP(InputData[[#This Row],[CUSTOMER NAME]],Country[#All],3,0)</f>
        <v>Export</v>
      </c>
      <c r="I119" s="1" t="str">
        <f>TEXT(InputData[[#This Row],[DATE]],"MMM")</f>
        <v>Feb</v>
      </c>
      <c r="J119" s="1">
        <f>WEEKNUM(InputData[[#This Row],[DATE]])</f>
        <v>7</v>
      </c>
    </row>
    <row r="120" spans="1:10" x14ac:dyDescent="0.25">
      <c r="A120" s="3">
        <v>44241</v>
      </c>
      <c r="B120" s="6" t="s">
        <v>60</v>
      </c>
      <c r="C120" s="4" t="s">
        <v>28</v>
      </c>
      <c r="D120" s="5">
        <v>41.81</v>
      </c>
      <c r="E120" s="1">
        <v>3</v>
      </c>
      <c r="F120" s="1">
        <f>InputData[[#This Row],[UNIT PRICE ($)]]*InputData[[#This Row],[QUANTITY]]</f>
        <v>125.43</v>
      </c>
      <c r="G120" s="1" t="str">
        <f>VLOOKUP(InputData[[#This Row],[CUSTOMER NAME]],Country[#All],2,0)</f>
        <v>Nigeria</v>
      </c>
      <c r="H120" s="1" t="str">
        <f>VLOOKUP(InputData[[#This Row],[CUSTOMER NAME]],Country[#All],3,0)</f>
        <v>Export</v>
      </c>
      <c r="I120" s="1" t="str">
        <f>TEXT(InputData[[#This Row],[DATE]],"MMM")</f>
        <v>Feb</v>
      </c>
      <c r="J120" s="1">
        <f>WEEKNUM(InputData[[#This Row],[DATE]])</f>
        <v>8</v>
      </c>
    </row>
    <row r="121" spans="1:10" x14ac:dyDescent="0.25">
      <c r="A121" s="3">
        <v>44241</v>
      </c>
      <c r="B121" s="6" t="s">
        <v>80</v>
      </c>
      <c r="C121" s="4" t="s">
        <v>34</v>
      </c>
      <c r="D121" s="5">
        <v>58.3</v>
      </c>
      <c r="E121" s="1">
        <v>8</v>
      </c>
      <c r="F121" s="1">
        <f>InputData[[#This Row],[UNIT PRICE ($)]]*InputData[[#This Row],[QUANTITY]]</f>
        <v>466.4</v>
      </c>
      <c r="G121" s="1" t="str">
        <f>VLOOKUP(InputData[[#This Row],[CUSTOMER NAME]],Country[#All],2,0)</f>
        <v>South Africa</v>
      </c>
      <c r="H121" s="1" t="str">
        <f>VLOOKUP(InputData[[#This Row],[CUSTOMER NAME]],Country[#All],3,0)</f>
        <v>Export</v>
      </c>
      <c r="I121" s="1" t="str">
        <f>TEXT(InputData[[#This Row],[DATE]],"MMM")</f>
        <v>Feb</v>
      </c>
      <c r="J121" s="1">
        <f>WEEKNUM(InputData[[#This Row],[DATE]])</f>
        <v>8</v>
      </c>
    </row>
    <row r="122" spans="1:10" x14ac:dyDescent="0.25">
      <c r="A122" s="3">
        <v>44241</v>
      </c>
      <c r="B122" s="6" t="s">
        <v>89</v>
      </c>
      <c r="C122" s="4" t="s">
        <v>26</v>
      </c>
      <c r="D122" s="5">
        <v>24.66</v>
      </c>
      <c r="E122" s="1">
        <v>8</v>
      </c>
      <c r="F122" s="1">
        <f>InputData[[#This Row],[UNIT PRICE ($)]]*InputData[[#This Row],[QUANTITY]]</f>
        <v>197.28</v>
      </c>
      <c r="G122" s="1" t="str">
        <f>VLOOKUP(InputData[[#This Row],[CUSTOMER NAME]],Country[#All],2,0)</f>
        <v>Mexico</v>
      </c>
      <c r="H122" s="1" t="str">
        <f>VLOOKUP(InputData[[#This Row],[CUSTOMER NAME]],Country[#All],3,0)</f>
        <v>Export</v>
      </c>
      <c r="I122" s="1" t="str">
        <f>TEXT(InputData[[#This Row],[DATE]],"MMM")</f>
        <v>Feb</v>
      </c>
      <c r="J122" s="1">
        <f>WEEKNUM(InputData[[#This Row],[DATE]])</f>
        <v>8</v>
      </c>
    </row>
    <row r="123" spans="1:10" x14ac:dyDescent="0.25">
      <c r="A123" s="3">
        <v>44242</v>
      </c>
      <c r="B123" s="6" t="s">
        <v>60</v>
      </c>
      <c r="C123" s="4" t="s">
        <v>29</v>
      </c>
      <c r="D123" s="5">
        <v>53.11</v>
      </c>
      <c r="E123" s="1">
        <v>28</v>
      </c>
      <c r="F123" s="1">
        <f>InputData[[#This Row],[UNIT PRICE ($)]]*InputData[[#This Row],[QUANTITY]]</f>
        <v>1487.08</v>
      </c>
      <c r="G123" s="1" t="str">
        <f>VLOOKUP(InputData[[#This Row],[CUSTOMER NAME]],Country[#All],2,0)</f>
        <v>Nigeria</v>
      </c>
      <c r="H123" s="1" t="str">
        <f>VLOOKUP(InputData[[#This Row],[CUSTOMER NAME]],Country[#All],3,0)</f>
        <v>Export</v>
      </c>
      <c r="I123" s="1" t="str">
        <f>TEXT(InputData[[#This Row],[DATE]],"MMM")</f>
        <v>Feb</v>
      </c>
      <c r="J123" s="1">
        <f>WEEKNUM(InputData[[#This Row],[DATE]])</f>
        <v>8</v>
      </c>
    </row>
    <row r="124" spans="1:10" x14ac:dyDescent="0.25">
      <c r="A124" s="3">
        <v>44242</v>
      </c>
      <c r="B124" s="6" t="s">
        <v>65</v>
      </c>
      <c r="C124" s="4" t="s">
        <v>27</v>
      </c>
      <c r="D124" s="5">
        <v>57.120000000000005</v>
      </c>
      <c r="E124" s="1">
        <v>4</v>
      </c>
      <c r="F124" s="1">
        <f>InputData[[#This Row],[UNIT PRICE ($)]]*InputData[[#This Row],[QUANTITY]]</f>
        <v>228.48000000000002</v>
      </c>
      <c r="G124" s="1" t="str">
        <f>VLOOKUP(InputData[[#This Row],[CUSTOMER NAME]],Country[#All],2,0)</f>
        <v>Pakistan</v>
      </c>
      <c r="H124" s="1" t="str">
        <f>VLOOKUP(InputData[[#This Row],[CUSTOMER NAME]],Country[#All],3,0)</f>
        <v>Export</v>
      </c>
      <c r="I124" s="1" t="str">
        <f>TEXT(InputData[[#This Row],[DATE]],"MMM")</f>
        <v>Feb</v>
      </c>
      <c r="J124" s="1">
        <f>WEEKNUM(InputData[[#This Row],[DATE]])</f>
        <v>8</v>
      </c>
    </row>
    <row r="125" spans="1:10" x14ac:dyDescent="0.25">
      <c r="A125" s="3">
        <v>44243</v>
      </c>
      <c r="B125" s="6" t="s">
        <v>110</v>
      </c>
      <c r="C125" s="4" t="s">
        <v>15</v>
      </c>
      <c r="D125" s="5">
        <v>15.719999999999999</v>
      </c>
      <c r="E125" s="1">
        <v>26</v>
      </c>
      <c r="F125" s="1">
        <f>InputData[[#This Row],[UNIT PRICE ($)]]*InputData[[#This Row],[QUANTITY]]</f>
        <v>408.71999999999997</v>
      </c>
      <c r="G125" s="1" t="str">
        <f>VLOOKUP(InputData[[#This Row],[CUSTOMER NAME]],Country[#All],2,0)</f>
        <v>India</v>
      </c>
      <c r="H125" s="1" t="str">
        <f>VLOOKUP(InputData[[#This Row],[CUSTOMER NAME]],Country[#All],3,0)</f>
        <v>Western</v>
      </c>
      <c r="I125" s="1" t="str">
        <f>TEXT(InputData[[#This Row],[DATE]],"MMM")</f>
        <v>Feb</v>
      </c>
      <c r="J125" s="1">
        <f>WEEKNUM(InputData[[#This Row],[DATE]])</f>
        <v>8</v>
      </c>
    </row>
    <row r="126" spans="1:10" x14ac:dyDescent="0.25">
      <c r="A126" s="3">
        <v>44243</v>
      </c>
      <c r="B126" s="6" t="s">
        <v>116</v>
      </c>
      <c r="C126" s="4" t="s">
        <v>32</v>
      </c>
      <c r="D126" s="5">
        <v>117.48</v>
      </c>
      <c r="E126" s="1">
        <v>1</v>
      </c>
      <c r="F126" s="1">
        <f>InputData[[#This Row],[UNIT PRICE ($)]]*InputData[[#This Row],[QUANTITY]]</f>
        <v>117.48</v>
      </c>
      <c r="G126" s="1" t="str">
        <f>VLOOKUP(InputData[[#This Row],[CUSTOMER NAME]],Country[#All],2,0)</f>
        <v>Germany</v>
      </c>
      <c r="H126" s="1" t="str">
        <f>VLOOKUP(InputData[[#This Row],[CUSTOMER NAME]],Country[#All],3,0)</f>
        <v>Export</v>
      </c>
      <c r="I126" s="1" t="str">
        <f>TEXT(InputData[[#This Row],[DATE]],"MMM")</f>
        <v>Feb</v>
      </c>
      <c r="J126" s="1">
        <f>WEEKNUM(InputData[[#This Row],[DATE]])</f>
        <v>8</v>
      </c>
    </row>
    <row r="127" spans="1:10" x14ac:dyDescent="0.25">
      <c r="A127" s="3">
        <v>44244</v>
      </c>
      <c r="B127" s="6" t="s">
        <v>74</v>
      </c>
      <c r="C127" s="4" t="s">
        <v>43</v>
      </c>
      <c r="D127" s="5">
        <v>83.08</v>
      </c>
      <c r="E127" s="1">
        <v>19</v>
      </c>
      <c r="F127" s="1">
        <f>InputData[[#This Row],[UNIT PRICE ($)]]*InputData[[#This Row],[QUANTITY]]</f>
        <v>1578.52</v>
      </c>
      <c r="G127" s="1" t="str">
        <f>VLOOKUP(InputData[[#This Row],[CUSTOMER NAME]],Country[#All],2,0)</f>
        <v>Brazil</v>
      </c>
      <c r="H127" s="1" t="str">
        <f>VLOOKUP(InputData[[#This Row],[CUSTOMER NAME]],Country[#All],3,0)</f>
        <v>Export</v>
      </c>
      <c r="I127" s="1" t="str">
        <f>TEXT(InputData[[#This Row],[DATE]],"MMM")</f>
        <v>Feb</v>
      </c>
      <c r="J127" s="1">
        <f>WEEKNUM(InputData[[#This Row],[DATE]])</f>
        <v>8</v>
      </c>
    </row>
    <row r="128" spans="1:10" x14ac:dyDescent="0.25">
      <c r="A128" s="3">
        <v>44244</v>
      </c>
      <c r="B128" s="6" t="s">
        <v>74</v>
      </c>
      <c r="C128" s="4" t="s">
        <v>33</v>
      </c>
      <c r="D128" s="5">
        <v>119.7</v>
      </c>
      <c r="E128" s="1">
        <v>19</v>
      </c>
      <c r="F128" s="1">
        <f>InputData[[#This Row],[UNIT PRICE ($)]]*InputData[[#This Row],[QUANTITY]]</f>
        <v>2274.3000000000002</v>
      </c>
      <c r="G128" s="1" t="str">
        <f>VLOOKUP(InputData[[#This Row],[CUSTOMER NAME]],Country[#All],2,0)</f>
        <v>Brazil</v>
      </c>
      <c r="H128" s="1" t="str">
        <f>VLOOKUP(InputData[[#This Row],[CUSTOMER NAME]],Country[#All],3,0)</f>
        <v>Export</v>
      </c>
      <c r="I128" s="1" t="str">
        <f>TEXT(InputData[[#This Row],[DATE]],"MMM")</f>
        <v>Feb</v>
      </c>
      <c r="J128" s="1">
        <f>WEEKNUM(InputData[[#This Row],[DATE]])</f>
        <v>8</v>
      </c>
    </row>
    <row r="129" spans="1:10" x14ac:dyDescent="0.25">
      <c r="A129" s="3">
        <v>44244</v>
      </c>
      <c r="B129" s="6" t="s">
        <v>83</v>
      </c>
      <c r="C129" s="4" t="s">
        <v>44</v>
      </c>
      <c r="D129" s="5">
        <v>82.08</v>
      </c>
      <c r="E129" s="1">
        <v>2</v>
      </c>
      <c r="F129" s="1">
        <f>InputData[[#This Row],[UNIT PRICE ($)]]*InputData[[#This Row],[QUANTITY]]</f>
        <v>164.16</v>
      </c>
      <c r="G129" s="1" t="str">
        <f>VLOOKUP(InputData[[#This Row],[CUSTOMER NAME]],Country[#All],2,0)</f>
        <v>India</v>
      </c>
      <c r="H129" s="1" t="str">
        <f>VLOOKUP(InputData[[#This Row],[CUSTOMER NAME]],Country[#All],3,0)</f>
        <v>North</v>
      </c>
      <c r="I129" s="1" t="str">
        <f>TEXT(InputData[[#This Row],[DATE]],"MMM")</f>
        <v>Feb</v>
      </c>
      <c r="J129" s="1">
        <f>WEEKNUM(InputData[[#This Row],[DATE]])</f>
        <v>8</v>
      </c>
    </row>
    <row r="130" spans="1:10" x14ac:dyDescent="0.25">
      <c r="A130" s="3">
        <v>44245</v>
      </c>
      <c r="B130" s="6" t="s">
        <v>74</v>
      </c>
      <c r="C130" s="4" t="s">
        <v>15</v>
      </c>
      <c r="D130" s="5">
        <v>15.719999999999999</v>
      </c>
      <c r="E130" s="1">
        <v>6</v>
      </c>
      <c r="F130" s="1">
        <f>InputData[[#This Row],[UNIT PRICE ($)]]*InputData[[#This Row],[QUANTITY]]</f>
        <v>94.32</v>
      </c>
      <c r="G130" s="1" t="str">
        <f>VLOOKUP(InputData[[#This Row],[CUSTOMER NAME]],Country[#All],2,0)</f>
        <v>Brazil</v>
      </c>
      <c r="H130" s="1" t="str">
        <f>VLOOKUP(InputData[[#This Row],[CUSTOMER NAME]],Country[#All],3,0)</f>
        <v>Export</v>
      </c>
      <c r="I130" s="1" t="str">
        <f>TEXT(InputData[[#This Row],[DATE]],"MMM")</f>
        <v>Feb</v>
      </c>
      <c r="J130" s="1">
        <f>WEEKNUM(InputData[[#This Row],[DATE]])</f>
        <v>8</v>
      </c>
    </row>
    <row r="131" spans="1:10" x14ac:dyDescent="0.25">
      <c r="A131" s="3">
        <v>44246</v>
      </c>
      <c r="B131" s="6" t="s">
        <v>110</v>
      </c>
      <c r="C131" s="4" t="s">
        <v>2</v>
      </c>
      <c r="D131" s="5">
        <v>142.80000000000001</v>
      </c>
      <c r="E131" s="1">
        <v>13</v>
      </c>
      <c r="F131" s="1">
        <f>InputData[[#This Row],[UNIT PRICE ($)]]*InputData[[#This Row],[QUANTITY]]</f>
        <v>1856.4</v>
      </c>
      <c r="G131" s="1" t="str">
        <f>VLOOKUP(InputData[[#This Row],[CUSTOMER NAME]],Country[#All],2,0)</f>
        <v>India</v>
      </c>
      <c r="H131" s="1" t="str">
        <f>VLOOKUP(InputData[[#This Row],[CUSTOMER NAME]],Country[#All],3,0)</f>
        <v>Western</v>
      </c>
      <c r="I131" s="1" t="str">
        <f>TEXT(InputData[[#This Row],[DATE]],"MMM")</f>
        <v>Feb</v>
      </c>
      <c r="J131" s="1">
        <f>WEEKNUM(InputData[[#This Row],[DATE]])</f>
        <v>8</v>
      </c>
    </row>
    <row r="132" spans="1:10" x14ac:dyDescent="0.25">
      <c r="A132" s="3">
        <v>44247</v>
      </c>
      <c r="B132" s="6" t="s">
        <v>81</v>
      </c>
      <c r="C132" s="4" t="s">
        <v>12</v>
      </c>
      <c r="D132" s="5">
        <v>94.17</v>
      </c>
      <c r="E132" s="1">
        <v>6</v>
      </c>
      <c r="F132" s="1">
        <f>InputData[[#This Row],[UNIT PRICE ($)]]*InputData[[#This Row],[QUANTITY]]</f>
        <v>565.02</v>
      </c>
      <c r="G132" s="1" t="str">
        <f>VLOOKUP(InputData[[#This Row],[CUSTOMER NAME]],Country[#All],2,0)</f>
        <v>India</v>
      </c>
      <c r="H132" s="1" t="str">
        <f>VLOOKUP(InputData[[#This Row],[CUSTOMER NAME]],Country[#All],3,0)</f>
        <v>East</v>
      </c>
      <c r="I132" s="1" t="str">
        <f>TEXT(InputData[[#This Row],[DATE]],"MMM")</f>
        <v>Feb</v>
      </c>
      <c r="J132" s="1">
        <f>WEEKNUM(InputData[[#This Row],[DATE]])</f>
        <v>8</v>
      </c>
    </row>
    <row r="133" spans="1:10" x14ac:dyDescent="0.25">
      <c r="A133" s="3">
        <v>44247</v>
      </c>
      <c r="B133" s="6" t="s">
        <v>113</v>
      </c>
      <c r="C133" s="4" t="s">
        <v>30</v>
      </c>
      <c r="D133" s="5">
        <v>201.28</v>
      </c>
      <c r="E133" s="1">
        <v>11</v>
      </c>
      <c r="F133" s="1">
        <f>InputData[[#This Row],[UNIT PRICE ($)]]*InputData[[#This Row],[QUANTITY]]</f>
        <v>2214.08</v>
      </c>
      <c r="G133" s="1" t="str">
        <f>VLOOKUP(InputData[[#This Row],[CUSTOMER NAME]],Country[#All],2,0)</f>
        <v>Pakistan</v>
      </c>
      <c r="H133" s="1" t="str">
        <f>VLOOKUP(InputData[[#This Row],[CUSTOMER NAME]],Country[#All],3,0)</f>
        <v>Export</v>
      </c>
      <c r="I133" s="1" t="str">
        <f>TEXT(InputData[[#This Row],[DATE]],"MMM")</f>
        <v>Feb</v>
      </c>
      <c r="J133" s="1">
        <f>WEEKNUM(InputData[[#This Row],[DATE]])</f>
        <v>8</v>
      </c>
    </row>
    <row r="134" spans="1:10" x14ac:dyDescent="0.25">
      <c r="A134" s="3">
        <v>44248</v>
      </c>
      <c r="B134" s="6" t="s">
        <v>63</v>
      </c>
      <c r="C134" s="4" t="s">
        <v>18</v>
      </c>
      <c r="D134" s="5">
        <v>49.21</v>
      </c>
      <c r="E134" s="1">
        <v>30</v>
      </c>
      <c r="F134" s="1">
        <f>InputData[[#This Row],[UNIT PRICE ($)]]*InputData[[#This Row],[QUANTITY]]</f>
        <v>1476.3</v>
      </c>
      <c r="G134" s="1" t="str">
        <f>VLOOKUP(InputData[[#This Row],[CUSTOMER NAME]],Country[#All],2,0)</f>
        <v>Saudi Arabia</v>
      </c>
      <c r="H134" s="1" t="str">
        <f>VLOOKUP(InputData[[#This Row],[CUSTOMER NAME]],Country[#All],3,0)</f>
        <v>Export</v>
      </c>
      <c r="I134" s="1" t="str">
        <f>TEXT(InputData[[#This Row],[DATE]],"MMM")</f>
        <v>Feb</v>
      </c>
      <c r="J134" s="1">
        <f>WEEKNUM(InputData[[#This Row],[DATE]])</f>
        <v>9</v>
      </c>
    </row>
    <row r="135" spans="1:10" x14ac:dyDescent="0.25">
      <c r="A135" s="3">
        <v>44249</v>
      </c>
      <c r="B135" s="6" t="s">
        <v>79</v>
      </c>
      <c r="C135" s="4" t="s">
        <v>13</v>
      </c>
      <c r="D135" s="5">
        <v>122.08</v>
      </c>
      <c r="E135" s="1">
        <v>5</v>
      </c>
      <c r="F135" s="1">
        <f>InputData[[#This Row],[UNIT PRICE ($)]]*InputData[[#This Row],[QUANTITY]]</f>
        <v>610.4</v>
      </c>
      <c r="G135" s="1" t="str">
        <f>VLOOKUP(InputData[[#This Row],[CUSTOMER NAME]],Country[#All],2,0)</f>
        <v>United Kingdom</v>
      </c>
      <c r="H135" s="1" t="str">
        <f>VLOOKUP(InputData[[#This Row],[CUSTOMER NAME]],Country[#All],3,0)</f>
        <v>Export</v>
      </c>
      <c r="I135" s="1" t="str">
        <f>TEXT(InputData[[#This Row],[DATE]],"MMM")</f>
        <v>Feb</v>
      </c>
      <c r="J135" s="1">
        <f>WEEKNUM(InputData[[#This Row],[DATE]])</f>
        <v>9</v>
      </c>
    </row>
    <row r="136" spans="1:10" x14ac:dyDescent="0.25">
      <c r="A136" s="3">
        <v>44250</v>
      </c>
      <c r="B136" s="6" t="s">
        <v>60</v>
      </c>
      <c r="C136" s="4" t="s">
        <v>13</v>
      </c>
      <c r="D136" s="5">
        <v>122.08</v>
      </c>
      <c r="E136" s="1">
        <v>6</v>
      </c>
      <c r="F136" s="1">
        <f>InputData[[#This Row],[UNIT PRICE ($)]]*InputData[[#This Row],[QUANTITY]]</f>
        <v>732.48</v>
      </c>
      <c r="G136" s="1" t="str">
        <f>VLOOKUP(InputData[[#This Row],[CUSTOMER NAME]],Country[#All],2,0)</f>
        <v>Nigeria</v>
      </c>
      <c r="H136" s="1" t="str">
        <f>VLOOKUP(InputData[[#This Row],[CUSTOMER NAME]],Country[#All],3,0)</f>
        <v>Export</v>
      </c>
      <c r="I136" s="1" t="str">
        <f>TEXT(InputData[[#This Row],[DATE]],"MMM")</f>
        <v>Feb</v>
      </c>
      <c r="J136" s="1">
        <f>WEEKNUM(InputData[[#This Row],[DATE]])</f>
        <v>9</v>
      </c>
    </row>
    <row r="137" spans="1:10" x14ac:dyDescent="0.25">
      <c r="A137" s="3">
        <v>44250</v>
      </c>
      <c r="B137" s="6" t="s">
        <v>68</v>
      </c>
      <c r="C137" s="4" t="s">
        <v>25</v>
      </c>
      <c r="D137" s="5">
        <v>8.33</v>
      </c>
      <c r="E137" s="1">
        <v>3</v>
      </c>
      <c r="F137" s="1">
        <f>InputData[[#This Row],[UNIT PRICE ($)]]*InputData[[#This Row],[QUANTITY]]</f>
        <v>24.990000000000002</v>
      </c>
      <c r="G137" s="1" t="str">
        <f>VLOOKUP(InputData[[#This Row],[CUSTOMER NAME]],Country[#All],2,0)</f>
        <v>Russia</v>
      </c>
      <c r="H137" s="1" t="str">
        <f>VLOOKUP(InputData[[#This Row],[CUSTOMER NAME]],Country[#All],3,0)</f>
        <v>Export</v>
      </c>
      <c r="I137" s="1" t="str">
        <f>TEXT(InputData[[#This Row],[DATE]],"MMM")</f>
        <v>Feb</v>
      </c>
      <c r="J137" s="1">
        <f>WEEKNUM(InputData[[#This Row],[DATE]])</f>
        <v>9</v>
      </c>
    </row>
    <row r="138" spans="1:10" x14ac:dyDescent="0.25">
      <c r="A138" s="3">
        <v>44250</v>
      </c>
      <c r="B138" s="6" t="s">
        <v>112</v>
      </c>
      <c r="C138" s="4" t="s">
        <v>16</v>
      </c>
      <c r="D138" s="5">
        <v>16.64</v>
      </c>
      <c r="E138" s="1">
        <v>15</v>
      </c>
      <c r="F138" s="1">
        <f>InputData[[#This Row],[UNIT PRICE ($)]]*InputData[[#This Row],[QUANTITY]]</f>
        <v>249.60000000000002</v>
      </c>
      <c r="G138" s="1" t="str">
        <f>VLOOKUP(InputData[[#This Row],[CUSTOMER NAME]],Country[#All],2,0)</f>
        <v>India</v>
      </c>
      <c r="H138" s="1" t="str">
        <f>VLOOKUP(InputData[[#This Row],[CUSTOMER NAME]],Country[#All],3,0)</f>
        <v>North</v>
      </c>
      <c r="I138" s="1" t="str">
        <f>TEXT(InputData[[#This Row],[DATE]],"MMM")</f>
        <v>Feb</v>
      </c>
      <c r="J138" s="1">
        <f>WEEKNUM(InputData[[#This Row],[DATE]])</f>
        <v>9</v>
      </c>
    </row>
    <row r="139" spans="1:10" x14ac:dyDescent="0.25">
      <c r="A139" s="3">
        <v>44250</v>
      </c>
      <c r="B139" s="6" t="s">
        <v>73</v>
      </c>
      <c r="C139" s="4" t="s">
        <v>5</v>
      </c>
      <c r="D139" s="5">
        <v>155.61000000000001</v>
      </c>
      <c r="E139" s="1">
        <v>2</v>
      </c>
      <c r="F139" s="1">
        <f>InputData[[#This Row],[UNIT PRICE ($)]]*InputData[[#This Row],[QUANTITY]]</f>
        <v>311.22000000000003</v>
      </c>
      <c r="G139" s="1" t="str">
        <f>VLOOKUP(InputData[[#This Row],[CUSTOMER NAME]],Country[#All],2,0)</f>
        <v>India</v>
      </c>
      <c r="H139" s="1" t="str">
        <f>VLOOKUP(InputData[[#This Row],[CUSTOMER NAME]],Country[#All],3,0)</f>
        <v>East</v>
      </c>
      <c r="I139" s="1" t="str">
        <f>TEXT(InputData[[#This Row],[DATE]],"MMM")</f>
        <v>Feb</v>
      </c>
      <c r="J139" s="1">
        <f>WEEKNUM(InputData[[#This Row],[DATE]])</f>
        <v>9</v>
      </c>
    </row>
    <row r="140" spans="1:10" x14ac:dyDescent="0.25">
      <c r="A140" s="3">
        <v>44250</v>
      </c>
      <c r="B140" s="6" t="s">
        <v>113</v>
      </c>
      <c r="C140" s="4" t="s">
        <v>36</v>
      </c>
      <c r="D140" s="5">
        <v>96.3</v>
      </c>
      <c r="E140" s="1">
        <v>8</v>
      </c>
      <c r="F140" s="1">
        <f>InputData[[#This Row],[UNIT PRICE ($)]]*InputData[[#This Row],[QUANTITY]]</f>
        <v>770.4</v>
      </c>
      <c r="G140" s="1" t="str">
        <f>VLOOKUP(InputData[[#This Row],[CUSTOMER NAME]],Country[#All],2,0)</f>
        <v>Pakistan</v>
      </c>
      <c r="H140" s="1" t="str">
        <f>VLOOKUP(InputData[[#This Row],[CUSTOMER NAME]],Country[#All],3,0)</f>
        <v>Export</v>
      </c>
      <c r="I140" s="1" t="str">
        <f>TEXT(InputData[[#This Row],[DATE]],"MMM")</f>
        <v>Feb</v>
      </c>
      <c r="J140" s="1">
        <f>WEEKNUM(InputData[[#This Row],[DATE]])</f>
        <v>9</v>
      </c>
    </row>
    <row r="141" spans="1:10" x14ac:dyDescent="0.25">
      <c r="A141" s="3">
        <v>44252</v>
      </c>
      <c r="B141" s="6" t="s">
        <v>73</v>
      </c>
      <c r="C141" s="4" t="s">
        <v>13</v>
      </c>
      <c r="D141" s="5">
        <v>122.08</v>
      </c>
      <c r="E141" s="1">
        <v>10</v>
      </c>
      <c r="F141" s="1">
        <f>InputData[[#This Row],[UNIT PRICE ($)]]*InputData[[#This Row],[QUANTITY]]</f>
        <v>1220.8</v>
      </c>
      <c r="G141" s="1" t="str">
        <f>VLOOKUP(InputData[[#This Row],[CUSTOMER NAME]],Country[#All],2,0)</f>
        <v>India</v>
      </c>
      <c r="H141" s="1" t="str">
        <f>VLOOKUP(InputData[[#This Row],[CUSTOMER NAME]],Country[#All],3,0)</f>
        <v>East</v>
      </c>
      <c r="I141" s="1" t="str">
        <f>TEXT(InputData[[#This Row],[DATE]],"MMM")</f>
        <v>Feb</v>
      </c>
      <c r="J141" s="1">
        <f>WEEKNUM(InputData[[#This Row],[DATE]])</f>
        <v>9</v>
      </c>
    </row>
    <row r="142" spans="1:10" x14ac:dyDescent="0.25">
      <c r="A142" s="3">
        <v>44252</v>
      </c>
      <c r="B142" s="6" t="s">
        <v>81</v>
      </c>
      <c r="C142" s="4" t="s">
        <v>39</v>
      </c>
      <c r="D142" s="5">
        <v>42.55</v>
      </c>
      <c r="E142" s="1">
        <v>38</v>
      </c>
      <c r="F142" s="1">
        <f>InputData[[#This Row],[UNIT PRICE ($)]]*InputData[[#This Row],[QUANTITY]]</f>
        <v>1616.8999999999999</v>
      </c>
      <c r="G142" s="1" t="str">
        <f>VLOOKUP(InputData[[#This Row],[CUSTOMER NAME]],Country[#All],2,0)</f>
        <v>India</v>
      </c>
      <c r="H142" s="1" t="str">
        <f>VLOOKUP(InputData[[#This Row],[CUSTOMER NAME]],Country[#All],3,0)</f>
        <v>East</v>
      </c>
      <c r="I142" s="1" t="str">
        <f>TEXT(InputData[[#This Row],[DATE]],"MMM")</f>
        <v>Feb</v>
      </c>
      <c r="J142" s="1">
        <f>WEEKNUM(InputData[[#This Row],[DATE]])</f>
        <v>9</v>
      </c>
    </row>
    <row r="143" spans="1:10" x14ac:dyDescent="0.25">
      <c r="A143" s="3">
        <v>44252</v>
      </c>
      <c r="B143" s="6" t="s">
        <v>84</v>
      </c>
      <c r="C143" s="4" t="s">
        <v>32</v>
      </c>
      <c r="D143" s="5">
        <v>117.48</v>
      </c>
      <c r="E143" s="1">
        <v>11</v>
      </c>
      <c r="F143" s="1">
        <f>InputData[[#This Row],[UNIT PRICE ($)]]*InputData[[#This Row],[QUANTITY]]</f>
        <v>1292.28</v>
      </c>
      <c r="G143" s="1" t="str">
        <f>VLOOKUP(InputData[[#This Row],[CUSTOMER NAME]],Country[#All],2,0)</f>
        <v>Ethiopia</v>
      </c>
      <c r="H143" s="1" t="str">
        <f>VLOOKUP(InputData[[#This Row],[CUSTOMER NAME]],Country[#All],3,0)</f>
        <v>Export</v>
      </c>
      <c r="I143" s="1" t="str">
        <f>TEXT(InputData[[#This Row],[DATE]],"MMM")</f>
        <v>Feb</v>
      </c>
      <c r="J143" s="1">
        <f>WEEKNUM(InputData[[#This Row],[DATE]])</f>
        <v>9</v>
      </c>
    </row>
    <row r="144" spans="1:10" x14ac:dyDescent="0.25">
      <c r="A144" s="3">
        <v>44252</v>
      </c>
      <c r="B144" s="6" t="s">
        <v>86</v>
      </c>
      <c r="C144" s="4" t="s">
        <v>30</v>
      </c>
      <c r="D144" s="5">
        <v>201.28</v>
      </c>
      <c r="E144" s="1">
        <v>2</v>
      </c>
      <c r="F144" s="1">
        <f>InputData[[#This Row],[UNIT PRICE ($)]]*InputData[[#This Row],[QUANTITY]]</f>
        <v>402.56</v>
      </c>
      <c r="G144" s="1" t="str">
        <f>VLOOKUP(InputData[[#This Row],[CUSTOMER NAME]],Country[#All],2,0)</f>
        <v>India</v>
      </c>
      <c r="H144" s="1" t="str">
        <f>VLOOKUP(InputData[[#This Row],[CUSTOMER NAME]],Country[#All],3,0)</f>
        <v>South</v>
      </c>
      <c r="I144" s="1" t="str">
        <f>TEXT(InputData[[#This Row],[DATE]],"MMM")</f>
        <v>Feb</v>
      </c>
      <c r="J144" s="1">
        <f>WEEKNUM(InputData[[#This Row],[DATE]])</f>
        <v>9</v>
      </c>
    </row>
    <row r="145" spans="1:10" x14ac:dyDescent="0.25">
      <c r="A145" s="3">
        <v>44252</v>
      </c>
      <c r="B145" s="6" t="s">
        <v>88</v>
      </c>
      <c r="C145" s="4" t="s">
        <v>2</v>
      </c>
      <c r="D145" s="5">
        <v>142.80000000000001</v>
      </c>
      <c r="E145" s="1">
        <v>4</v>
      </c>
      <c r="F145" s="1">
        <f>InputData[[#This Row],[UNIT PRICE ($)]]*InputData[[#This Row],[QUANTITY]]</f>
        <v>571.20000000000005</v>
      </c>
      <c r="G145" s="1" t="str">
        <f>VLOOKUP(InputData[[#This Row],[CUSTOMER NAME]],Country[#All],2,0)</f>
        <v>India</v>
      </c>
      <c r="H145" s="1" t="str">
        <f>VLOOKUP(InputData[[#This Row],[CUSTOMER NAME]],Country[#All],3,0)</f>
        <v>South</v>
      </c>
      <c r="I145" s="1" t="str">
        <f>TEXT(InputData[[#This Row],[DATE]],"MMM")</f>
        <v>Feb</v>
      </c>
      <c r="J145" s="1">
        <f>WEEKNUM(InputData[[#This Row],[DATE]])</f>
        <v>9</v>
      </c>
    </row>
    <row r="146" spans="1:10" x14ac:dyDescent="0.25">
      <c r="A146" s="3">
        <v>44253</v>
      </c>
      <c r="B146" s="6" t="s">
        <v>74</v>
      </c>
      <c r="C146" s="4" t="s">
        <v>24</v>
      </c>
      <c r="D146" s="5">
        <v>156.96</v>
      </c>
      <c r="E146" s="1">
        <v>28</v>
      </c>
      <c r="F146" s="1">
        <f>InputData[[#This Row],[UNIT PRICE ($)]]*InputData[[#This Row],[QUANTITY]]</f>
        <v>4394.88</v>
      </c>
      <c r="G146" s="1" t="str">
        <f>VLOOKUP(InputData[[#This Row],[CUSTOMER NAME]],Country[#All],2,0)</f>
        <v>Brazil</v>
      </c>
      <c r="H146" s="1" t="str">
        <f>VLOOKUP(InputData[[#This Row],[CUSTOMER NAME]],Country[#All],3,0)</f>
        <v>Export</v>
      </c>
      <c r="I146" s="1" t="str">
        <f>TEXT(InputData[[#This Row],[DATE]],"MMM")</f>
        <v>Feb</v>
      </c>
      <c r="J146" s="1">
        <f>WEEKNUM(InputData[[#This Row],[DATE]])</f>
        <v>9</v>
      </c>
    </row>
    <row r="147" spans="1:10" x14ac:dyDescent="0.25">
      <c r="A147" s="3">
        <v>44253</v>
      </c>
      <c r="B147" s="6" t="s">
        <v>79</v>
      </c>
      <c r="C147" s="4" t="s">
        <v>9</v>
      </c>
      <c r="D147" s="5">
        <v>7.8599999999999994</v>
      </c>
      <c r="E147" s="1">
        <v>2</v>
      </c>
      <c r="F147" s="1">
        <f>InputData[[#This Row],[UNIT PRICE ($)]]*InputData[[#This Row],[QUANTITY]]</f>
        <v>15.719999999999999</v>
      </c>
      <c r="G147" s="1" t="str">
        <f>VLOOKUP(InputData[[#This Row],[CUSTOMER NAME]],Country[#All],2,0)</f>
        <v>United Kingdom</v>
      </c>
      <c r="H147" s="1" t="str">
        <f>VLOOKUP(InputData[[#This Row],[CUSTOMER NAME]],Country[#All],3,0)</f>
        <v>Export</v>
      </c>
      <c r="I147" s="1" t="str">
        <f>TEXT(InputData[[#This Row],[DATE]],"MMM")</f>
        <v>Feb</v>
      </c>
      <c r="J147" s="1">
        <f>WEEKNUM(InputData[[#This Row],[DATE]])</f>
        <v>9</v>
      </c>
    </row>
    <row r="148" spans="1:10" x14ac:dyDescent="0.25">
      <c r="A148" s="3">
        <v>44254</v>
      </c>
      <c r="B148" s="6" t="s">
        <v>71</v>
      </c>
      <c r="C148" s="4" t="s">
        <v>25</v>
      </c>
      <c r="D148" s="5">
        <v>8.33</v>
      </c>
      <c r="E148" s="1">
        <v>7</v>
      </c>
      <c r="F148" s="1">
        <f>InputData[[#This Row],[UNIT PRICE ($)]]*InputData[[#This Row],[QUANTITY]]</f>
        <v>58.31</v>
      </c>
      <c r="G148" s="1" t="str">
        <f>VLOOKUP(InputData[[#This Row],[CUSTOMER NAME]],Country[#All],2,0)</f>
        <v>India</v>
      </c>
      <c r="H148" s="1" t="str">
        <f>VLOOKUP(InputData[[#This Row],[CUSTOMER NAME]],Country[#All],3,0)</f>
        <v>Central</v>
      </c>
      <c r="I148" s="1" t="str">
        <f>TEXT(InputData[[#This Row],[DATE]],"MMM")</f>
        <v>Feb</v>
      </c>
      <c r="J148" s="1">
        <f>WEEKNUM(InputData[[#This Row],[DATE]])</f>
        <v>9</v>
      </c>
    </row>
    <row r="149" spans="1:10" x14ac:dyDescent="0.25">
      <c r="A149" s="3">
        <v>44254</v>
      </c>
      <c r="B149" s="6" t="s">
        <v>112</v>
      </c>
      <c r="C149" s="4" t="s">
        <v>36</v>
      </c>
      <c r="D149" s="5">
        <v>96.3</v>
      </c>
      <c r="E149" s="1">
        <v>3</v>
      </c>
      <c r="F149" s="1">
        <f>InputData[[#This Row],[UNIT PRICE ($)]]*InputData[[#This Row],[QUANTITY]]</f>
        <v>288.89999999999998</v>
      </c>
      <c r="G149" s="1" t="str">
        <f>VLOOKUP(InputData[[#This Row],[CUSTOMER NAME]],Country[#All],2,0)</f>
        <v>India</v>
      </c>
      <c r="H149" s="1" t="str">
        <f>VLOOKUP(InputData[[#This Row],[CUSTOMER NAME]],Country[#All],3,0)</f>
        <v>North</v>
      </c>
      <c r="I149" s="1" t="str">
        <f>TEXT(InputData[[#This Row],[DATE]],"MMM")</f>
        <v>Feb</v>
      </c>
      <c r="J149" s="1">
        <f>WEEKNUM(InputData[[#This Row],[DATE]])</f>
        <v>9</v>
      </c>
    </row>
    <row r="150" spans="1:10" x14ac:dyDescent="0.25">
      <c r="A150" s="3">
        <v>44254</v>
      </c>
      <c r="B150" s="6" t="s">
        <v>81</v>
      </c>
      <c r="C150" s="4" t="s">
        <v>18</v>
      </c>
      <c r="D150" s="5">
        <v>49.21</v>
      </c>
      <c r="E150" s="1">
        <v>11</v>
      </c>
      <c r="F150" s="1">
        <f>InputData[[#This Row],[UNIT PRICE ($)]]*InputData[[#This Row],[QUANTITY]]</f>
        <v>541.31000000000006</v>
      </c>
      <c r="G150" s="1" t="str">
        <f>VLOOKUP(InputData[[#This Row],[CUSTOMER NAME]],Country[#All],2,0)</f>
        <v>India</v>
      </c>
      <c r="H150" s="1" t="str">
        <f>VLOOKUP(InputData[[#This Row],[CUSTOMER NAME]],Country[#All],3,0)</f>
        <v>East</v>
      </c>
      <c r="I150" s="1" t="str">
        <f>TEXT(InputData[[#This Row],[DATE]],"MMM")</f>
        <v>Feb</v>
      </c>
      <c r="J150" s="1">
        <f>WEEKNUM(InputData[[#This Row],[DATE]])</f>
        <v>9</v>
      </c>
    </row>
    <row r="151" spans="1:10" x14ac:dyDescent="0.25">
      <c r="A151" s="3">
        <v>44254</v>
      </c>
      <c r="B151" s="6" t="s">
        <v>113</v>
      </c>
      <c r="C151" s="4" t="s">
        <v>5</v>
      </c>
      <c r="D151" s="5">
        <v>155.61000000000001</v>
      </c>
      <c r="E151" s="1">
        <v>15</v>
      </c>
      <c r="F151" s="1">
        <f>InputData[[#This Row],[UNIT PRICE ($)]]*InputData[[#This Row],[QUANTITY]]</f>
        <v>2334.15</v>
      </c>
      <c r="G151" s="1" t="str">
        <f>VLOOKUP(InputData[[#This Row],[CUSTOMER NAME]],Country[#All],2,0)</f>
        <v>Pakistan</v>
      </c>
      <c r="H151" s="1" t="str">
        <f>VLOOKUP(InputData[[#This Row],[CUSTOMER NAME]],Country[#All],3,0)</f>
        <v>Export</v>
      </c>
      <c r="I151" s="1" t="str">
        <f>TEXT(InputData[[#This Row],[DATE]],"MMM")</f>
        <v>Feb</v>
      </c>
      <c r="J151" s="1">
        <f>WEEKNUM(InputData[[#This Row],[DATE]])</f>
        <v>9</v>
      </c>
    </row>
    <row r="152" spans="1:10" x14ac:dyDescent="0.25">
      <c r="A152" s="3">
        <v>44254</v>
      </c>
      <c r="B152" s="6" t="s">
        <v>89</v>
      </c>
      <c r="C152" s="4" t="s">
        <v>12</v>
      </c>
      <c r="D152" s="5">
        <v>94.17</v>
      </c>
      <c r="E152" s="1">
        <v>7</v>
      </c>
      <c r="F152" s="1">
        <f>InputData[[#This Row],[UNIT PRICE ($)]]*InputData[[#This Row],[QUANTITY]]</f>
        <v>659.19</v>
      </c>
      <c r="G152" s="1" t="str">
        <f>VLOOKUP(InputData[[#This Row],[CUSTOMER NAME]],Country[#All],2,0)</f>
        <v>Mexico</v>
      </c>
      <c r="H152" s="1" t="str">
        <f>VLOOKUP(InputData[[#This Row],[CUSTOMER NAME]],Country[#All],3,0)</f>
        <v>Export</v>
      </c>
      <c r="I152" s="1" t="str">
        <f>TEXT(InputData[[#This Row],[DATE]],"MMM")</f>
        <v>Feb</v>
      </c>
      <c r="J152" s="1">
        <f>WEEKNUM(InputData[[#This Row],[DATE]])</f>
        <v>9</v>
      </c>
    </row>
    <row r="153" spans="1:10" x14ac:dyDescent="0.25">
      <c r="A153" s="3">
        <v>44255</v>
      </c>
      <c r="B153" s="6" t="s">
        <v>116</v>
      </c>
      <c r="C153" s="4" t="s">
        <v>37</v>
      </c>
      <c r="D153" s="5">
        <v>85.76</v>
      </c>
      <c r="E153" s="1">
        <v>15</v>
      </c>
      <c r="F153" s="1">
        <f>InputData[[#This Row],[UNIT PRICE ($)]]*InputData[[#This Row],[QUANTITY]]</f>
        <v>1286.4000000000001</v>
      </c>
      <c r="G153" s="1" t="str">
        <f>VLOOKUP(InputData[[#This Row],[CUSTOMER NAME]],Country[#All],2,0)</f>
        <v>Germany</v>
      </c>
      <c r="H153" s="1" t="str">
        <f>VLOOKUP(InputData[[#This Row],[CUSTOMER NAME]],Country[#All],3,0)</f>
        <v>Export</v>
      </c>
      <c r="I153" s="1" t="str">
        <f>TEXT(InputData[[#This Row],[DATE]],"MMM")</f>
        <v>Feb</v>
      </c>
      <c r="J153" s="1">
        <f>WEEKNUM(InputData[[#This Row],[DATE]])</f>
        <v>10</v>
      </c>
    </row>
    <row r="154" spans="1:10" x14ac:dyDescent="0.25">
      <c r="A154" s="3">
        <v>44256</v>
      </c>
      <c r="B154" s="6" t="s">
        <v>83</v>
      </c>
      <c r="C154" s="4" t="s">
        <v>28</v>
      </c>
      <c r="D154" s="5">
        <v>41.81</v>
      </c>
      <c r="E154" s="1">
        <v>28</v>
      </c>
      <c r="F154" s="1">
        <f>InputData[[#This Row],[UNIT PRICE ($)]]*InputData[[#This Row],[QUANTITY]]</f>
        <v>1170.68</v>
      </c>
      <c r="G154" s="1" t="str">
        <f>VLOOKUP(InputData[[#This Row],[CUSTOMER NAME]],Country[#All],2,0)</f>
        <v>India</v>
      </c>
      <c r="H154" s="1" t="str">
        <f>VLOOKUP(InputData[[#This Row],[CUSTOMER NAME]],Country[#All],3,0)</f>
        <v>North</v>
      </c>
      <c r="I154" s="1" t="str">
        <f>TEXT(InputData[[#This Row],[DATE]],"MMM")</f>
        <v>Mar</v>
      </c>
      <c r="J154" s="1">
        <f>WEEKNUM(InputData[[#This Row],[DATE]])</f>
        <v>10</v>
      </c>
    </row>
    <row r="155" spans="1:10" x14ac:dyDescent="0.25">
      <c r="A155" s="3">
        <v>44257</v>
      </c>
      <c r="B155" s="6" t="s">
        <v>74</v>
      </c>
      <c r="C155" s="4" t="s">
        <v>24</v>
      </c>
      <c r="D155" s="5">
        <v>156.96</v>
      </c>
      <c r="E155" s="1">
        <v>21</v>
      </c>
      <c r="F155" s="1">
        <f>InputData[[#This Row],[UNIT PRICE ($)]]*InputData[[#This Row],[QUANTITY]]</f>
        <v>3296.1600000000003</v>
      </c>
      <c r="G155" s="1" t="str">
        <f>VLOOKUP(InputData[[#This Row],[CUSTOMER NAME]],Country[#All],2,0)</f>
        <v>Brazil</v>
      </c>
      <c r="H155" s="1" t="str">
        <f>VLOOKUP(InputData[[#This Row],[CUSTOMER NAME]],Country[#All],3,0)</f>
        <v>Export</v>
      </c>
      <c r="I155" s="1" t="str">
        <f>TEXT(InputData[[#This Row],[DATE]],"MMM")</f>
        <v>Mar</v>
      </c>
      <c r="J155" s="1">
        <f>WEEKNUM(InputData[[#This Row],[DATE]])</f>
        <v>10</v>
      </c>
    </row>
    <row r="156" spans="1:10" x14ac:dyDescent="0.25">
      <c r="A156" s="3">
        <v>44257</v>
      </c>
      <c r="B156" s="6" t="s">
        <v>77</v>
      </c>
      <c r="C156" s="4" t="s">
        <v>2</v>
      </c>
      <c r="D156" s="5">
        <v>142.80000000000001</v>
      </c>
      <c r="E156" s="1">
        <v>1</v>
      </c>
      <c r="F156" s="1">
        <f>InputData[[#This Row],[UNIT PRICE ($)]]*InputData[[#This Row],[QUANTITY]]</f>
        <v>142.80000000000001</v>
      </c>
      <c r="G156" s="1" t="str">
        <f>VLOOKUP(InputData[[#This Row],[CUSTOMER NAME]],Country[#All],2,0)</f>
        <v>India</v>
      </c>
      <c r="H156" s="1" t="str">
        <f>VLOOKUP(InputData[[#This Row],[CUSTOMER NAME]],Country[#All],3,0)</f>
        <v>Western</v>
      </c>
      <c r="I156" s="1" t="str">
        <f>TEXT(InputData[[#This Row],[DATE]],"MMM")</f>
        <v>Mar</v>
      </c>
      <c r="J156" s="1">
        <f>WEEKNUM(InputData[[#This Row],[DATE]])</f>
        <v>10</v>
      </c>
    </row>
    <row r="157" spans="1:10" x14ac:dyDescent="0.25">
      <c r="A157" s="3">
        <v>44257</v>
      </c>
      <c r="B157" s="6" t="s">
        <v>81</v>
      </c>
      <c r="C157" s="4" t="s">
        <v>1</v>
      </c>
      <c r="D157" s="5">
        <v>103.88</v>
      </c>
      <c r="E157" s="1">
        <v>30</v>
      </c>
      <c r="F157" s="1">
        <f>InputData[[#This Row],[UNIT PRICE ($)]]*InputData[[#This Row],[QUANTITY]]</f>
        <v>3116.3999999999996</v>
      </c>
      <c r="G157" s="1" t="str">
        <f>VLOOKUP(InputData[[#This Row],[CUSTOMER NAME]],Country[#All],2,0)</f>
        <v>India</v>
      </c>
      <c r="H157" s="1" t="str">
        <f>VLOOKUP(InputData[[#This Row],[CUSTOMER NAME]],Country[#All],3,0)</f>
        <v>East</v>
      </c>
      <c r="I157" s="1" t="str">
        <f>TEXT(InputData[[#This Row],[DATE]],"MMM")</f>
        <v>Mar</v>
      </c>
      <c r="J157" s="1">
        <f>WEEKNUM(InputData[[#This Row],[DATE]])</f>
        <v>10</v>
      </c>
    </row>
    <row r="158" spans="1:10" x14ac:dyDescent="0.25">
      <c r="A158" s="3">
        <v>44258</v>
      </c>
      <c r="B158" s="6" t="s">
        <v>68</v>
      </c>
      <c r="C158" s="4" t="s">
        <v>11</v>
      </c>
      <c r="D158" s="5">
        <v>48.4</v>
      </c>
      <c r="E158" s="1">
        <v>1</v>
      </c>
      <c r="F158" s="1">
        <f>InputData[[#This Row],[UNIT PRICE ($)]]*InputData[[#This Row],[QUANTITY]]</f>
        <v>48.4</v>
      </c>
      <c r="G158" s="1" t="str">
        <f>VLOOKUP(InputData[[#This Row],[CUSTOMER NAME]],Country[#All],2,0)</f>
        <v>Russia</v>
      </c>
      <c r="H158" s="1" t="str">
        <f>VLOOKUP(InputData[[#This Row],[CUSTOMER NAME]],Country[#All],3,0)</f>
        <v>Export</v>
      </c>
      <c r="I158" s="1" t="str">
        <f>TEXT(InputData[[#This Row],[DATE]],"MMM")</f>
        <v>Mar</v>
      </c>
      <c r="J158" s="1">
        <f>WEEKNUM(InputData[[#This Row],[DATE]])</f>
        <v>10</v>
      </c>
    </row>
    <row r="159" spans="1:10" x14ac:dyDescent="0.25">
      <c r="A159" s="3">
        <v>44258</v>
      </c>
      <c r="B159" s="6" t="s">
        <v>71</v>
      </c>
      <c r="C159" s="4" t="s">
        <v>36</v>
      </c>
      <c r="D159" s="5">
        <v>96.3</v>
      </c>
      <c r="E159" s="1">
        <v>29</v>
      </c>
      <c r="F159" s="1">
        <f>InputData[[#This Row],[UNIT PRICE ($)]]*InputData[[#This Row],[QUANTITY]]</f>
        <v>2792.7</v>
      </c>
      <c r="G159" s="1" t="str">
        <f>VLOOKUP(InputData[[#This Row],[CUSTOMER NAME]],Country[#All],2,0)</f>
        <v>India</v>
      </c>
      <c r="H159" s="1" t="str">
        <f>VLOOKUP(InputData[[#This Row],[CUSTOMER NAME]],Country[#All],3,0)</f>
        <v>Central</v>
      </c>
      <c r="I159" s="1" t="str">
        <f>TEXT(InputData[[#This Row],[DATE]],"MMM")</f>
        <v>Mar</v>
      </c>
      <c r="J159" s="1">
        <f>WEEKNUM(InputData[[#This Row],[DATE]])</f>
        <v>10</v>
      </c>
    </row>
    <row r="160" spans="1:10" x14ac:dyDescent="0.25">
      <c r="A160" s="3">
        <v>44259</v>
      </c>
      <c r="B160" s="6" t="s">
        <v>77</v>
      </c>
      <c r="C160" s="4" t="s">
        <v>26</v>
      </c>
      <c r="D160" s="5">
        <v>24.66</v>
      </c>
      <c r="E160" s="1">
        <v>13</v>
      </c>
      <c r="F160" s="1">
        <f>InputData[[#This Row],[UNIT PRICE ($)]]*InputData[[#This Row],[QUANTITY]]</f>
        <v>320.58</v>
      </c>
      <c r="G160" s="1" t="str">
        <f>VLOOKUP(InputData[[#This Row],[CUSTOMER NAME]],Country[#All],2,0)</f>
        <v>India</v>
      </c>
      <c r="H160" s="1" t="str">
        <f>VLOOKUP(InputData[[#This Row],[CUSTOMER NAME]],Country[#All],3,0)</f>
        <v>Western</v>
      </c>
      <c r="I160" s="1" t="str">
        <f>TEXT(InputData[[#This Row],[DATE]],"MMM")</f>
        <v>Mar</v>
      </c>
      <c r="J160" s="1">
        <f>WEEKNUM(InputData[[#This Row],[DATE]])</f>
        <v>10</v>
      </c>
    </row>
    <row r="161" spans="1:10" x14ac:dyDescent="0.25">
      <c r="A161" s="3">
        <v>44259</v>
      </c>
      <c r="B161" s="6" t="s">
        <v>83</v>
      </c>
      <c r="C161" s="4" t="s">
        <v>4</v>
      </c>
      <c r="D161" s="5">
        <v>48.84</v>
      </c>
      <c r="E161" s="1">
        <v>23</v>
      </c>
      <c r="F161" s="1">
        <f>InputData[[#This Row],[UNIT PRICE ($)]]*InputData[[#This Row],[QUANTITY]]</f>
        <v>1123.3200000000002</v>
      </c>
      <c r="G161" s="1" t="str">
        <f>VLOOKUP(InputData[[#This Row],[CUSTOMER NAME]],Country[#All],2,0)</f>
        <v>India</v>
      </c>
      <c r="H161" s="1" t="str">
        <f>VLOOKUP(InputData[[#This Row],[CUSTOMER NAME]],Country[#All],3,0)</f>
        <v>North</v>
      </c>
      <c r="I161" s="1" t="str">
        <f>TEXT(InputData[[#This Row],[DATE]],"MMM")</f>
        <v>Mar</v>
      </c>
      <c r="J161" s="1">
        <f>WEEKNUM(InputData[[#This Row],[DATE]])</f>
        <v>10</v>
      </c>
    </row>
    <row r="162" spans="1:10" x14ac:dyDescent="0.25">
      <c r="A162" s="3">
        <v>44259</v>
      </c>
      <c r="B162" s="6" t="s">
        <v>84</v>
      </c>
      <c r="C162" s="4" t="s">
        <v>25</v>
      </c>
      <c r="D162" s="5">
        <v>8.33</v>
      </c>
      <c r="E162" s="1">
        <v>26</v>
      </c>
      <c r="F162" s="1">
        <f>InputData[[#This Row],[UNIT PRICE ($)]]*InputData[[#This Row],[QUANTITY]]</f>
        <v>216.58</v>
      </c>
      <c r="G162" s="1" t="str">
        <f>VLOOKUP(InputData[[#This Row],[CUSTOMER NAME]],Country[#All],2,0)</f>
        <v>Ethiopia</v>
      </c>
      <c r="H162" s="1" t="str">
        <f>VLOOKUP(InputData[[#This Row],[CUSTOMER NAME]],Country[#All],3,0)</f>
        <v>Export</v>
      </c>
      <c r="I162" s="1" t="str">
        <f>TEXT(InputData[[#This Row],[DATE]],"MMM")</f>
        <v>Mar</v>
      </c>
      <c r="J162" s="1">
        <f>WEEKNUM(InputData[[#This Row],[DATE]])</f>
        <v>10</v>
      </c>
    </row>
    <row r="163" spans="1:10" x14ac:dyDescent="0.25">
      <c r="A163" s="3">
        <v>44260</v>
      </c>
      <c r="B163" s="6" t="s">
        <v>81</v>
      </c>
      <c r="C163" s="4" t="s">
        <v>40</v>
      </c>
      <c r="D163" s="5">
        <v>115.2</v>
      </c>
      <c r="E163" s="1">
        <v>33</v>
      </c>
      <c r="F163" s="1">
        <f>InputData[[#This Row],[UNIT PRICE ($)]]*InputData[[#This Row],[QUANTITY]]</f>
        <v>3801.6</v>
      </c>
      <c r="G163" s="1" t="str">
        <f>VLOOKUP(InputData[[#This Row],[CUSTOMER NAME]],Country[#All],2,0)</f>
        <v>India</v>
      </c>
      <c r="H163" s="1" t="str">
        <f>VLOOKUP(InputData[[#This Row],[CUSTOMER NAME]],Country[#All],3,0)</f>
        <v>East</v>
      </c>
      <c r="I163" s="1" t="str">
        <f>TEXT(InputData[[#This Row],[DATE]],"MMM")</f>
        <v>Mar</v>
      </c>
      <c r="J163" s="1">
        <f>WEEKNUM(InputData[[#This Row],[DATE]])</f>
        <v>10</v>
      </c>
    </row>
    <row r="164" spans="1:10" x14ac:dyDescent="0.25">
      <c r="A164" s="3">
        <v>44261</v>
      </c>
      <c r="B164" s="6" t="s">
        <v>77</v>
      </c>
      <c r="C164" s="4" t="s">
        <v>4</v>
      </c>
      <c r="D164" s="5">
        <v>48.84</v>
      </c>
      <c r="E164" s="1">
        <v>2</v>
      </c>
      <c r="F164" s="1">
        <f>InputData[[#This Row],[UNIT PRICE ($)]]*InputData[[#This Row],[QUANTITY]]</f>
        <v>97.68</v>
      </c>
      <c r="G164" s="1" t="str">
        <f>VLOOKUP(InputData[[#This Row],[CUSTOMER NAME]],Country[#All],2,0)</f>
        <v>India</v>
      </c>
      <c r="H164" s="1" t="str">
        <f>VLOOKUP(InputData[[#This Row],[CUSTOMER NAME]],Country[#All],3,0)</f>
        <v>Western</v>
      </c>
      <c r="I164" s="1" t="str">
        <f>TEXT(InputData[[#This Row],[DATE]],"MMM")</f>
        <v>Mar</v>
      </c>
      <c r="J164" s="1">
        <f>WEEKNUM(InputData[[#This Row],[DATE]])</f>
        <v>10</v>
      </c>
    </row>
    <row r="165" spans="1:10" x14ac:dyDescent="0.25">
      <c r="A165" s="3">
        <v>44262</v>
      </c>
      <c r="B165" s="6" t="s">
        <v>60</v>
      </c>
      <c r="C165" s="4" t="s">
        <v>3</v>
      </c>
      <c r="D165" s="5">
        <v>80.94</v>
      </c>
      <c r="E165" s="1">
        <v>1</v>
      </c>
      <c r="F165" s="1">
        <f>InputData[[#This Row],[UNIT PRICE ($)]]*InputData[[#This Row],[QUANTITY]]</f>
        <v>80.94</v>
      </c>
      <c r="G165" s="1" t="str">
        <f>VLOOKUP(InputData[[#This Row],[CUSTOMER NAME]],Country[#All],2,0)</f>
        <v>Nigeria</v>
      </c>
      <c r="H165" s="1" t="str">
        <f>VLOOKUP(InputData[[#This Row],[CUSTOMER NAME]],Country[#All],3,0)</f>
        <v>Export</v>
      </c>
      <c r="I165" s="1" t="str">
        <f>TEXT(InputData[[#This Row],[DATE]],"MMM")</f>
        <v>Mar</v>
      </c>
      <c r="J165" s="1">
        <f>WEEKNUM(InputData[[#This Row],[DATE]])</f>
        <v>11</v>
      </c>
    </row>
    <row r="166" spans="1:10" x14ac:dyDescent="0.25">
      <c r="A166" s="3">
        <v>44262</v>
      </c>
      <c r="B166" s="6" t="s">
        <v>110</v>
      </c>
      <c r="C166" s="4" t="s">
        <v>21</v>
      </c>
      <c r="D166" s="5">
        <v>162.54</v>
      </c>
      <c r="E166" s="1">
        <v>9</v>
      </c>
      <c r="F166" s="1">
        <f>InputData[[#This Row],[UNIT PRICE ($)]]*InputData[[#This Row],[QUANTITY]]</f>
        <v>1462.86</v>
      </c>
      <c r="G166" s="1" t="str">
        <f>VLOOKUP(InputData[[#This Row],[CUSTOMER NAME]],Country[#All],2,0)</f>
        <v>India</v>
      </c>
      <c r="H166" s="1" t="str">
        <f>VLOOKUP(InputData[[#This Row],[CUSTOMER NAME]],Country[#All],3,0)</f>
        <v>Western</v>
      </c>
      <c r="I166" s="1" t="str">
        <f>TEXT(InputData[[#This Row],[DATE]],"MMM")</f>
        <v>Mar</v>
      </c>
      <c r="J166" s="1">
        <f>WEEKNUM(InputData[[#This Row],[DATE]])</f>
        <v>11</v>
      </c>
    </row>
    <row r="167" spans="1:10" x14ac:dyDescent="0.25">
      <c r="A167" s="3">
        <v>44262</v>
      </c>
      <c r="B167" s="6" t="s">
        <v>71</v>
      </c>
      <c r="C167" s="4" t="s">
        <v>17</v>
      </c>
      <c r="D167" s="5">
        <v>156.78</v>
      </c>
      <c r="E167" s="1">
        <v>25</v>
      </c>
      <c r="F167" s="1">
        <f>InputData[[#This Row],[UNIT PRICE ($)]]*InputData[[#This Row],[QUANTITY]]</f>
        <v>3919.5</v>
      </c>
      <c r="G167" s="1" t="str">
        <f>VLOOKUP(InputData[[#This Row],[CUSTOMER NAME]],Country[#All],2,0)</f>
        <v>India</v>
      </c>
      <c r="H167" s="1" t="str">
        <f>VLOOKUP(InputData[[#This Row],[CUSTOMER NAME]],Country[#All],3,0)</f>
        <v>Central</v>
      </c>
      <c r="I167" s="1" t="str">
        <f>TEXT(InputData[[#This Row],[DATE]],"MMM")</f>
        <v>Mar</v>
      </c>
      <c r="J167" s="1">
        <f>WEEKNUM(InputData[[#This Row],[DATE]])</f>
        <v>11</v>
      </c>
    </row>
    <row r="168" spans="1:10" x14ac:dyDescent="0.25">
      <c r="A168" s="3">
        <v>44263</v>
      </c>
      <c r="B168" s="6" t="s">
        <v>108</v>
      </c>
      <c r="C168" s="4" t="s">
        <v>22</v>
      </c>
      <c r="D168" s="5">
        <v>141.57</v>
      </c>
      <c r="E168" s="1">
        <v>22</v>
      </c>
      <c r="F168" s="1">
        <f>InputData[[#This Row],[UNIT PRICE ($)]]*InputData[[#This Row],[QUANTITY]]</f>
        <v>3114.54</v>
      </c>
      <c r="G168" s="1" t="str">
        <f>VLOOKUP(InputData[[#This Row],[CUSTOMER NAME]],Country[#All],2,0)</f>
        <v>India</v>
      </c>
      <c r="H168" s="1" t="str">
        <f>VLOOKUP(InputData[[#This Row],[CUSTOMER NAME]],Country[#All],3,0)</f>
        <v>North</v>
      </c>
      <c r="I168" s="1" t="str">
        <f>TEXT(InputData[[#This Row],[DATE]],"MMM")</f>
        <v>Mar</v>
      </c>
      <c r="J168" s="1">
        <f>WEEKNUM(InputData[[#This Row],[DATE]])</f>
        <v>11</v>
      </c>
    </row>
    <row r="169" spans="1:10" x14ac:dyDescent="0.25">
      <c r="A169" s="3">
        <v>44263</v>
      </c>
      <c r="B169" s="6" t="s">
        <v>77</v>
      </c>
      <c r="C169" s="4" t="s">
        <v>44</v>
      </c>
      <c r="D169" s="5">
        <v>82.08</v>
      </c>
      <c r="E169" s="1">
        <v>9</v>
      </c>
      <c r="F169" s="1">
        <f>InputData[[#This Row],[UNIT PRICE ($)]]*InputData[[#This Row],[QUANTITY]]</f>
        <v>738.72</v>
      </c>
      <c r="G169" s="1" t="str">
        <f>VLOOKUP(InputData[[#This Row],[CUSTOMER NAME]],Country[#All],2,0)</f>
        <v>India</v>
      </c>
      <c r="H169" s="1" t="str">
        <f>VLOOKUP(InputData[[#This Row],[CUSTOMER NAME]],Country[#All],3,0)</f>
        <v>Western</v>
      </c>
      <c r="I169" s="1" t="str">
        <f>TEXT(InputData[[#This Row],[DATE]],"MMM")</f>
        <v>Mar</v>
      </c>
      <c r="J169" s="1">
        <f>WEEKNUM(InputData[[#This Row],[DATE]])</f>
        <v>11</v>
      </c>
    </row>
    <row r="170" spans="1:10" x14ac:dyDescent="0.25">
      <c r="A170" s="3">
        <v>44263</v>
      </c>
      <c r="B170" s="6" t="s">
        <v>84</v>
      </c>
      <c r="C170" s="4" t="s">
        <v>27</v>
      </c>
      <c r="D170" s="5">
        <v>57.120000000000005</v>
      </c>
      <c r="E170" s="1">
        <v>6</v>
      </c>
      <c r="F170" s="1">
        <f>InputData[[#This Row],[UNIT PRICE ($)]]*InputData[[#This Row],[QUANTITY]]</f>
        <v>342.72</v>
      </c>
      <c r="G170" s="1" t="str">
        <f>VLOOKUP(InputData[[#This Row],[CUSTOMER NAME]],Country[#All],2,0)</f>
        <v>Ethiopia</v>
      </c>
      <c r="H170" s="1" t="str">
        <f>VLOOKUP(InputData[[#This Row],[CUSTOMER NAME]],Country[#All],3,0)</f>
        <v>Export</v>
      </c>
      <c r="I170" s="1" t="str">
        <f>TEXT(InputData[[#This Row],[DATE]],"MMM")</f>
        <v>Mar</v>
      </c>
      <c r="J170" s="1">
        <f>WEEKNUM(InputData[[#This Row],[DATE]])</f>
        <v>11</v>
      </c>
    </row>
    <row r="171" spans="1:10" x14ac:dyDescent="0.25">
      <c r="A171" s="3">
        <v>44263</v>
      </c>
      <c r="B171" s="6" t="s">
        <v>89</v>
      </c>
      <c r="C171" s="4" t="s">
        <v>44</v>
      </c>
      <c r="D171" s="5">
        <v>82.08</v>
      </c>
      <c r="E171" s="1">
        <v>6</v>
      </c>
      <c r="F171" s="1">
        <f>InputData[[#This Row],[UNIT PRICE ($)]]*InputData[[#This Row],[QUANTITY]]</f>
        <v>492.48</v>
      </c>
      <c r="G171" s="1" t="str">
        <f>VLOOKUP(InputData[[#This Row],[CUSTOMER NAME]],Country[#All],2,0)</f>
        <v>Mexico</v>
      </c>
      <c r="H171" s="1" t="str">
        <f>VLOOKUP(InputData[[#This Row],[CUSTOMER NAME]],Country[#All],3,0)</f>
        <v>Export</v>
      </c>
      <c r="I171" s="1" t="str">
        <f>TEXT(InputData[[#This Row],[DATE]],"MMM")</f>
        <v>Mar</v>
      </c>
      <c r="J171" s="1">
        <f>WEEKNUM(InputData[[#This Row],[DATE]])</f>
        <v>11</v>
      </c>
    </row>
    <row r="172" spans="1:10" x14ac:dyDescent="0.25">
      <c r="A172" s="3">
        <v>44264</v>
      </c>
      <c r="B172" s="6" t="s">
        <v>63</v>
      </c>
      <c r="C172" s="4" t="s">
        <v>30</v>
      </c>
      <c r="D172" s="5">
        <v>201.28</v>
      </c>
      <c r="E172" s="1">
        <v>3</v>
      </c>
      <c r="F172" s="1">
        <f>InputData[[#This Row],[UNIT PRICE ($)]]*InputData[[#This Row],[QUANTITY]]</f>
        <v>603.84</v>
      </c>
      <c r="G172" s="1" t="str">
        <f>VLOOKUP(InputData[[#This Row],[CUSTOMER NAME]],Country[#All],2,0)</f>
        <v>Saudi Arabia</v>
      </c>
      <c r="H172" s="1" t="str">
        <f>VLOOKUP(InputData[[#This Row],[CUSTOMER NAME]],Country[#All],3,0)</f>
        <v>Export</v>
      </c>
      <c r="I172" s="1" t="str">
        <f>TEXT(InputData[[#This Row],[DATE]],"MMM")</f>
        <v>Mar</v>
      </c>
      <c r="J172" s="1">
        <f>WEEKNUM(InputData[[#This Row],[DATE]])</f>
        <v>11</v>
      </c>
    </row>
    <row r="173" spans="1:10" x14ac:dyDescent="0.25">
      <c r="A173" s="3">
        <v>44264</v>
      </c>
      <c r="B173" s="6" t="s">
        <v>75</v>
      </c>
      <c r="C173" s="4" t="s">
        <v>4</v>
      </c>
      <c r="D173" s="5">
        <v>48.84</v>
      </c>
      <c r="E173" s="1">
        <v>11</v>
      </c>
      <c r="F173" s="1">
        <f>InputData[[#This Row],[UNIT PRICE ($)]]*InputData[[#This Row],[QUANTITY]]</f>
        <v>537.24</v>
      </c>
      <c r="G173" s="1" t="str">
        <f>VLOOKUP(InputData[[#This Row],[CUSTOMER NAME]],Country[#All],2,0)</f>
        <v>Russia</v>
      </c>
      <c r="H173" s="1" t="str">
        <f>VLOOKUP(InputData[[#This Row],[CUSTOMER NAME]],Country[#All],3,0)</f>
        <v>Export</v>
      </c>
      <c r="I173" s="1" t="str">
        <f>TEXT(InputData[[#This Row],[DATE]],"MMM")</f>
        <v>Mar</v>
      </c>
      <c r="J173" s="1">
        <f>WEEKNUM(InputData[[#This Row],[DATE]])</f>
        <v>11</v>
      </c>
    </row>
    <row r="174" spans="1:10" x14ac:dyDescent="0.25">
      <c r="A174" s="3">
        <v>44264</v>
      </c>
      <c r="B174" s="6" t="s">
        <v>77</v>
      </c>
      <c r="C174" s="4" t="s">
        <v>29</v>
      </c>
      <c r="D174" s="5">
        <v>53.11</v>
      </c>
      <c r="E174" s="1">
        <v>6</v>
      </c>
      <c r="F174" s="1">
        <f>InputData[[#This Row],[UNIT PRICE ($)]]*InputData[[#This Row],[QUANTITY]]</f>
        <v>318.65999999999997</v>
      </c>
      <c r="G174" s="1" t="str">
        <f>VLOOKUP(InputData[[#This Row],[CUSTOMER NAME]],Country[#All],2,0)</f>
        <v>India</v>
      </c>
      <c r="H174" s="1" t="str">
        <f>VLOOKUP(InputData[[#This Row],[CUSTOMER NAME]],Country[#All],3,0)</f>
        <v>Western</v>
      </c>
      <c r="I174" s="1" t="str">
        <f>TEXT(InputData[[#This Row],[DATE]],"MMM")</f>
        <v>Mar</v>
      </c>
      <c r="J174" s="1">
        <f>WEEKNUM(InputData[[#This Row],[DATE]])</f>
        <v>11</v>
      </c>
    </row>
    <row r="175" spans="1:10" x14ac:dyDescent="0.25">
      <c r="A175" s="3">
        <v>44265</v>
      </c>
      <c r="B175" s="6" t="s">
        <v>61</v>
      </c>
      <c r="C175" s="4" t="s">
        <v>33</v>
      </c>
      <c r="D175" s="5">
        <v>119.7</v>
      </c>
      <c r="E175" s="1">
        <v>12</v>
      </c>
      <c r="F175" s="1">
        <f>InputData[[#This Row],[UNIT PRICE ($)]]*InputData[[#This Row],[QUANTITY]]</f>
        <v>1436.4</v>
      </c>
      <c r="G175" s="1" t="str">
        <f>VLOOKUP(InputData[[#This Row],[CUSTOMER NAME]],Country[#All],2,0)</f>
        <v>Bangladesh</v>
      </c>
      <c r="H175" s="1" t="str">
        <f>VLOOKUP(InputData[[#This Row],[CUSTOMER NAME]],Country[#All],3,0)</f>
        <v>Export</v>
      </c>
      <c r="I175" s="1" t="str">
        <f>TEXT(InputData[[#This Row],[DATE]],"MMM")</f>
        <v>Mar</v>
      </c>
      <c r="J175" s="1">
        <f>WEEKNUM(InputData[[#This Row],[DATE]])</f>
        <v>11</v>
      </c>
    </row>
    <row r="176" spans="1:10" x14ac:dyDescent="0.25">
      <c r="A176" s="3">
        <v>44265</v>
      </c>
      <c r="B176" s="6" t="s">
        <v>75</v>
      </c>
      <c r="C176" s="4" t="s">
        <v>2</v>
      </c>
      <c r="D176" s="5">
        <v>142.80000000000001</v>
      </c>
      <c r="E176" s="1">
        <v>6</v>
      </c>
      <c r="F176" s="1">
        <f>InputData[[#This Row],[UNIT PRICE ($)]]*InputData[[#This Row],[QUANTITY]]</f>
        <v>856.80000000000007</v>
      </c>
      <c r="G176" s="1" t="str">
        <f>VLOOKUP(InputData[[#This Row],[CUSTOMER NAME]],Country[#All],2,0)</f>
        <v>Russia</v>
      </c>
      <c r="H176" s="1" t="str">
        <f>VLOOKUP(InputData[[#This Row],[CUSTOMER NAME]],Country[#All],3,0)</f>
        <v>Export</v>
      </c>
      <c r="I176" s="1" t="str">
        <f>TEXT(InputData[[#This Row],[DATE]],"MMM")</f>
        <v>Mar</v>
      </c>
      <c r="J176" s="1">
        <f>WEEKNUM(InputData[[#This Row],[DATE]])</f>
        <v>11</v>
      </c>
    </row>
    <row r="177" spans="1:10" x14ac:dyDescent="0.25">
      <c r="A177" s="3">
        <v>44266</v>
      </c>
      <c r="B177" s="6" t="s">
        <v>76</v>
      </c>
      <c r="C177" s="4" t="s">
        <v>32</v>
      </c>
      <c r="D177" s="5">
        <v>117.48</v>
      </c>
      <c r="E177" s="1">
        <v>8</v>
      </c>
      <c r="F177" s="1">
        <f>InputData[[#This Row],[UNIT PRICE ($)]]*InputData[[#This Row],[QUANTITY]]</f>
        <v>939.84</v>
      </c>
      <c r="G177" s="1" t="str">
        <f>VLOOKUP(InputData[[#This Row],[CUSTOMER NAME]],Country[#All],2,0)</f>
        <v>Saudi Arabia</v>
      </c>
      <c r="H177" s="1" t="str">
        <f>VLOOKUP(InputData[[#This Row],[CUSTOMER NAME]],Country[#All],3,0)</f>
        <v>Export</v>
      </c>
      <c r="I177" s="1" t="str">
        <f>TEXT(InputData[[#This Row],[DATE]],"MMM")</f>
        <v>Mar</v>
      </c>
      <c r="J177" s="1">
        <f>WEEKNUM(InputData[[#This Row],[DATE]])</f>
        <v>11</v>
      </c>
    </row>
    <row r="178" spans="1:10" x14ac:dyDescent="0.25">
      <c r="A178" s="3">
        <v>44266</v>
      </c>
      <c r="B178" s="6" t="s">
        <v>77</v>
      </c>
      <c r="C178" s="4" t="s">
        <v>25</v>
      </c>
      <c r="D178" s="5">
        <v>8.33</v>
      </c>
      <c r="E178" s="1">
        <v>11</v>
      </c>
      <c r="F178" s="1">
        <f>InputData[[#This Row],[UNIT PRICE ($)]]*InputData[[#This Row],[QUANTITY]]</f>
        <v>91.63</v>
      </c>
      <c r="G178" s="1" t="str">
        <f>VLOOKUP(InputData[[#This Row],[CUSTOMER NAME]],Country[#All],2,0)</f>
        <v>India</v>
      </c>
      <c r="H178" s="1" t="str">
        <f>VLOOKUP(InputData[[#This Row],[CUSTOMER NAME]],Country[#All],3,0)</f>
        <v>Western</v>
      </c>
      <c r="I178" s="1" t="str">
        <f>TEXT(InputData[[#This Row],[DATE]],"MMM")</f>
        <v>Mar</v>
      </c>
      <c r="J178" s="1">
        <f>WEEKNUM(InputData[[#This Row],[DATE]])</f>
        <v>11</v>
      </c>
    </row>
    <row r="179" spans="1:10" x14ac:dyDescent="0.25">
      <c r="A179" s="3">
        <v>44266</v>
      </c>
      <c r="B179" s="6" t="s">
        <v>88</v>
      </c>
      <c r="C179" s="4" t="s">
        <v>12</v>
      </c>
      <c r="D179" s="5">
        <v>94.17</v>
      </c>
      <c r="E179" s="1">
        <v>36</v>
      </c>
      <c r="F179" s="1">
        <f>InputData[[#This Row],[UNIT PRICE ($)]]*InputData[[#This Row],[QUANTITY]]</f>
        <v>3390.12</v>
      </c>
      <c r="G179" s="1" t="str">
        <f>VLOOKUP(InputData[[#This Row],[CUSTOMER NAME]],Country[#All],2,0)</f>
        <v>India</v>
      </c>
      <c r="H179" s="1" t="str">
        <f>VLOOKUP(InputData[[#This Row],[CUSTOMER NAME]],Country[#All],3,0)</f>
        <v>South</v>
      </c>
      <c r="I179" s="1" t="str">
        <f>TEXT(InputData[[#This Row],[DATE]],"MMM")</f>
        <v>Mar</v>
      </c>
      <c r="J179" s="1">
        <f>WEEKNUM(InputData[[#This Row],[DATE]])</f>
        <v>11</v>
      </c>
    </row>
    <row r="180" spans="1:10" x14ac:dyDescent="0.25">
      <c r="A180" s="3">
        <v>44268</v>
      </c>
      <c r="B180" s="6" t="s">
        <v>68</v>
      </c>
      <c r="C180" s="4" t="s">
        <v>35</v>
      </c>
      <c r="D180" s="5">
        <v>6.7</v>
      </c>
      <c r="E180" s="1">
        <v>10</v>
      </c>
      <c r="F180" s="1">
        <f>InputData[[#This Row],[UNIT PRICE ($)]]*InputData[[#This Row],[QUANTITY]]</f>
        <v>67</v>
      </c>
      <c r="G180" s="1" t="str">
        <f>VLOOKUP(InputData[[#This Row],[CUSTOMER NAME]],Country[#All],2,0)</f>
        <v>Russia</v>
      </c>
      <c r="H180" s="1" t="str">
        <f>VLOOKUP(InputData[[#This Row],[CUSTOMER NAME]],Country[#All],3,0)</f>
        <v>Export</v>
      </c>
      <c r="I180" s="1" t="str">
        <f>TEXT(InputData[[#This Row],[DATE]],"MMM")</f>
        <v>Mar</v>
      </c>
      <c r="J180" s="1">
        <f>WEEKNUM(InputData[[#This Row],[DATE]])</f>
        <v>11</v>
      </c>
    </row>
    <row r="181" spans="1:10" x14ac:dyDescent="0.25">
      <c r="A181" s="3">
        <v>44268</v>
      </c>
      <c r="B181" s="6" t="s">
        <v>73</v>
      </c>
      <c r="C181" s="4" t="s">
        <v>28</v>
      </c>
      <c r="D181" s="5">
        <v>41.81</v>
      </c>
      <c r="E181" s="1">
        <v>10</v>
      </c>
      <c r="F181" s="1">
        <f>InputData[[#This Row],[UNIT PRICE ($)]]*InputData[[#This Row],[QUANTITY]]</f>
        <v>418.1</v>
      </c>
      <c r="G181" s="1" t="str">
        <f>VLOOKUP(InputData[[#This Row],[CUSTOMER NAME]],Country[#All],2,0)</f>
        <v>India</v>
      </c>
      <c r="H181" s="1" t="str">
        <f>VLOOKUP(InputData[[#This Row],[CUSTOMER NAME]],Country[#All],3,0)</f>
        <v>East</v>
      </c>
      <c r="I181" s="1" t="str">
        <f>TEXT(InputData[[#This Row],[DATE]],"MMM")</f>
        <v>Mar</v>
      </c>
      <c r="J181" s="1">
        <f>WEEKNUM(InputData[[#This Row],[DATE]])</f>
        <v>11</v>
      </c>
    </row>
    <row r="182" spans="1:10" x14ac:dyDescent="0.25">
      <c r="A182" s="3">
        <v>44269</v>
      </c>
      <c r="B182" s="6" t="s">
        <v>63</v>
      </c>
      <c r="C182" s="4" t="s">
        <v>22</v>
      </c>
      <c r="D182" s="5">
        <v>141.57</v>
      </c>
      <c r="E182" s="1">
        <v>15</v>
      </c>
      <c r="F182" s="1">
        <f>InputData[[#This Row],[UNIT PRICE ($)]]*InputData[[#This Row],[QUANTITY]]</f>
        <v>2123.5499999999997</v>
      </c>
      <c r="G182" s="1" t="str">
        <f>VLOOKUP(InputData[[#This Row],[CUSTOMER NAME]],Country[#All],2,0)</f>
        <v>Saudi Arabia</v>
      </c>
      <c r="H182" s="1" t="str">
        <f>VLOOKUP(InputData[[#This Row],[CUSTOMER NAME]],Country[#All],3,0)</f>
        <v>Export</v>
      </c>
      <c r="I182" s="1" t="str">
        <f>TEXT(InputData[[#This Row],[DATE]],"MMM")</f>
        <v>Mar</v>
      </c>
      <c r="J182" s="1">
        <f>WEEKNUM(InputData[[#This Row],[DATE]])</f>
        <v>12</v>
      </c>
    </row>
    <row r="183" spans="1:10" x14ac:dyDescent="0.25">
      <c r="A183" s="3">
        <v>44269</v>
      </c>
      <c r="B183" s="6" t="s">
        <v>74</v>
      </c>
      <c r="C183" s="4" t="s">
        <v>16</v>
      </c>
      <c r="D183" s="5">
        <v>16.64</v>
      </c>
      <c r="E183" s="1">
        <v>2</v>
      </c>
      <c r="F183" s="1">
        <f>InputData[[#This Row],[UNIT PRICE ($)]]*InputData[[#This Row],[QUANTITY]]</f>
        <v>33.28</v>
      </c>
      <c r="G183" s="1" t="str">
        <f>VLOOKUP(InputData[[#This Row],[CUSTOMER NAME]],Country[#All],2,0)</f>
        <v>Brazil</v>
      </c>
      <c r="H183" s="1" t="str">
        <f>VLOOKUP(InputData[[#This Row],[CUSTOMER NAME]],Country[#All],3,0)</f>
        <v>Export</v>
      </c>
      <c r="I183" s="1" t="str">
        <f>TEXT(InputData[[#This Row],[DATE]],"MMM")</f>
        <v>Mar</v>
      </c>
      <c r="J183" s="1">
        <f>WEEKNUM(InputData[[#This Row],[DATE]])</f>
        <v>12</v>
      </c>
    </row>
    <row r="184" spans="1:10" x14ac:dyDescent="0.25">
      <c r="A184" s="3">
        <v>44269</v>
      </c>
      <c r="B184" s="6" t="s">
        <v>79</v>
      </c>
      <c r="C184" s="4" t="s">
        <v>42</v>
      </c>
      <c r="D184" s="5">
        <v>162</v>
      </c>
      <c r="E184" s="1">
        <v>32</v>
      </c>
      <c r="F184" s="1">
        <f>InputData[[#This Row],[UNIT PRICE ($)]]*InputData[[#This Row],[QUANTITY]]</f>
        <v>5184</v>
      </c>
      <c r="G184" s="1" t="str">
        <f>VLOOKUP(InputData[[#This Row],[CUSTOMER NAME]],Country[#All],2,0)</f>
        <v>United Kingdom</v>
      </c>
      <c r="H184" s="1" t="str">
        <f>VLOOKUP(InputData[[#This Row],[CUSTOMER NAME]],Country[#All],3,0)</f>
        <v>Export</v>
      </c>
      <c r="I184" s="1" t="str">
        <f>TEXT(InputData[[#This Row],[DATE]],"MMM")</f>
        <v>Mar</v>
      </c>
      <c r="J184" s="1">
        <f>WEEKNUM(InputData[[#This Row],[DATE]])</f>
        <v>12</v>
      </c>
    </row>
    <row r="185" spans="1:10" x14ac:dyDescent="0.25">
      <c r="A185" s="3">
        <v>44269</v>
      </c>
      <c r="B185" s="6" t="s">
        <v>116</v>
      </c>
      <c r="C185" s="4" t="s">
        <v>26</v>
      </c>
      <c r="D185" s="5">
        <v>24.66</v>
      </c>
      <c r="E185" s="1">
        <v>13</v>
      </c>
      <c r="F185" s="1">
        <f>InputData[[#This Row],[UNIT PRICE ($)]]*InputData[[#This Row],[QUANTITY]]</f>
        <v>320.58</v>
      </c>
      <c r="G185" s="1" t="str">
        <f>VLOOKUP(InputData[[#This Row],[CUSTOMER NAME]],Country[#All],2,0)</f>
        <v>Germany</v>
      </c>
      <c r="H185" s="1" t="str">
        <f>VLOOKUP(InputData[[#This Row],[CUSTOMER NAME]],Country[#All],3,0)</f>
        <v>Export</v>
      </c>
      <c r="I185" s="1" t="str">
        <f>TEXT(InputData[[#This Row],[DATE]],"MMM")</f>
        <v>Mar</v>
      </c>
      <c r="J185" s="1">
        <f>WEEKNUM(InputData[[#This Row],[DATE]])</f>
        <v>12</v>
      </c>
    </row>
    <row r="186" spans="1:10" x14ac:dyDescent="0.25">
      <c r="A186" s="3">
        <v>44270</v>
      </c>
      <c r="B186" s="6" t="s">
        <v>73</v>
      </c>
      <c r="C186" s="4" t="s">
        <v>36</v>
      </c>
      <c r="D186" s="5">
        <v>96.3</v>
      </c>
      <c r="E186" s="1">
        <v>9</v>
      </c>
      <c r="F186" s="1">
        <f>InputData[[#This Row],[UNIT PRICE ($)]]*InputData[[#This Row],[QUANTITY]]</f>
        <v>866.69999999999993</v>
      </c>
      <c r="G186" s="1" t="str">
        <f>VLOOKUP(InputData[[#This Row],[CUSTOMER NAME]],Country[#All],2,0)</f>
        <v>India</v>
      </c>
      <c r="H186" s="1" t="str">
        <f>VLOOKUP(InputData[[#This Row],[CUSTOMER NAME]],Country[#All],3,0)</f>
        <v>East</v>
      </c>
      <c r="I186" s="1" t="str">
        <f>TEXT(InputData[[#This Row],[DATE]],"MMM")</f>
        <v>Mar</v>
      </c>
      <c r="J186" s="1">
        <f>WEEKNUM(InputData[[#This Row],[DATE]])</f>
        <v>12</v>
      </c>
    </row>
    <row r="187" spans="1:10" x14ac:dyDescent="0.25">
      <c r="A187" s="3">
        <v>44270</v>
      </c>
      <c r="B187" s="6" t="s">
        <v>81</v>
      </c>
      <c r="C187" s="4" t="s">
        <v>39</v>
      </c>
      <c r="D187" s="5">
        <v>42.55</v>
      </c>
      <c r="E187" s="1">
        <v>11</v>
      </c>
      <c r="F187" s="1">
        <f>InputData[[#This Row],[UNIT PRICE ($)]]*InputData[[#This Row],[QUANTITY]]</f>
        <v>468.04999999999995</v>
      </c>
      <c r="G187" s="1" t="str">
        <f>VLOOKUP(InputData[[#This Row],[CUSTOMER NAME]],Country[#All],2,0)</f>
        <v>India</v>
      </c>
      <c r="H187" s="1" t="str">
        <f>VLOOKUP(InputData[[#This Row],[CUSTOMER NAME]],Country[#All],3,0)</f>
        <v>East</v>
      </c>
      <c r="I187" s="1" t="str">
        <f>TEXT(InputData[[#This Row],[DATE]],"MMM")</f>
        <v>Mar</v>
      </c>
      <c r="J187" s="1">
        <f>WEEKNUM(InputData[[#This Row],[DATE]])</f>
        <v>12</v>
      </c>
    </row>
    <row r="188" spans="1:10" x14ac:dyDescent="0.25">
      <c r="A188" s="3">
        <v>44271</v>
      </c>
      <c r="B188" s="6" t="s">
        <v>63</v>
      </c>
      <c r="C188" s="4" t="s">
        <v>12</v>
      </c>
      <c r="D188" s="5">
        <v>94.17</v>
      </c>
      <c r="E188" s="1">
        <v>14</v>
      </c>
      <c r="F188" s="1">
        <f>InputData[[#This Row],[UNIT PRICE ($)]]*InputData[[#This Row],[QUANTITY]]</f>
        <v>1318.38</v>
      </c>
      <c r="G188" s="1" t="str">
        <f>VLOOKUP(InputData[[#This Row],[CUSTOMER NAME]],Country[#All],2,0)</f>
        <v>Saudi Arabia</v>
      </c>
      <c r="H188" s="1" t="str">
        <f>VLOOKUP(InputData[[#This Row],[CUSTOMER NAME]],Country[#All],3,0)</f>
        <v>Export</v>
      </c>
      <c r="I188" s="1" t="str">
        <f>TEXT(InputData[[#This Row],[DATE]],"MMM")</f>
        <v>Mar</v>
      </c>
      <c r="J188" s="1">
        <f>WEEKNUM(InputData[[#This Row],[DATE]])</f>
        <v>12</v>
      </c>
    </row>
    <row r="189" spans="1:10" x14ac:dyDescent="0.25">
      <c r="A189" s="3">
        <v>44271</v>
      </c>
      <c r="B189" s="6" t="s">
        <v>89</v>
      </c>
      <c r="C189" s="4" t="s">
        <v>22</v>
      </c>
      <c r="D189" s="5">
        <v>141.57</v>
      </c>
      <c r="E189" s="1">
        <v>29</v>
      </c>
      <c r="F189" s="1">
        <f>InputData[[#This Row],[UNIT PRICE ($)]]*InputData[[#This Row],[QUANTITY]]</f>
        <v>4105.53</v>
      </c>
      <c r="G189" s="1" t="str">
        <f>VLOOKUP(InputData[[#This Row],[CUSTOMER NAME]],Country[#All],2,0)</f>
        <v>Mexico</v>
      </c>
      <c r="H189" s="1" t="str">
        <f>VLOOKUP(InputData[[#This Row],[CUSTOMER NAME]],Country[#All],3,0)</f>
        <v>Export</v>
      </c>
      <c r="I189" s="1" t="str">
        <f>TEXT(InputData[[#This Row],[DATE]],"MMM")</f>
        <v>Mar</v>
      </c>
      <c r="J189" s="1">
        <f>WEEKNUM(InputData[[#This Row],[DATE]])</f>
        <v>12</v>
      </c>
    </row>
    <row r="190" spans="1:10" x14ac:dyDescent="0.25">
      <c r="A190" s="3">
        <v>44273</v>
      </c>
      <c r="B190" s="6" t="s">
        <v>63</v>
      </c>
      <c r="C190" s="4" t="s">
        <v>42</v>
      </c>
      <c r="D190" s="5">
        <v>162</v>
      </c>
      <c r="E190" s="1">
        <v>8</v>
      </c>
      <c r="F190" s="1">
        <f>InputData[[#This Row],[UNIT PRICE ($)]]*InputData[[#This Row],[QUANTITY]]</f>
        <v>1296</v>
      </c>
      <c r="G190" s="1" t="str">
        <f>VLOOKUP(InputData[[#This Row],[CUSTOMER NAME]],Country[#All],2,0)</f>
        <v>Saudi Arabia</v>
      </c>
      <c r="H190" s="1" t="str">
        <f>VLOOKUP(InputData[[#This Row],[CUSTOMER NAME]],Country[#All],3,0)</f>
        <v>Export</v>
      </c>
      <c r="I190" s="1" t="str">
        <f>TEXT(InputData[[#This Row],[DATE]],"MMM")</f>
        <v>Mar</v>
      </c>
      <c r="J190" s="1">
        <f>WEEKNUM(InputData[[#This Row],[DATE]])</f>
        <v>12</v>
      </c>
    </row>
    <row r="191" spans="1:10" x14ac:dyDescent="0.25">
      <c r="A191" s="3">
        <v>44273</v>
      </c>
      <c r="B191" s="6" t="s">
        <v>67</v>
      </c>
      <c r="C191" s="4" t="s">
        <v>19</v>
      </c>
      <c r="D191" s="5">
        <v>210</v>
      </c>
      <c r="E191" s="1">
        <v>2</v>
      </c>
      <c r="F191" s="1">
        <f>InputData[[#This Row],[UNIT PRICE ($)]]*InputData[[#This Row],[QUANTITY]]</f>
        <v>420</v>
      </c>
      <c r="G191" s="1" t="str">
        <f>VLOOKUP(InputData[[#This Row],[CUSTOMER NAME]],Country[#All],2,0)</f>
        <v>United Kingdom</v>
      </c>
      <c r="H191" s="1" t="str">
        <f>VLOOKUP(InputData[[#This Row],[CUSTOMER NAME]],Country[#All],3,0)</f>
        <v>Export</v>
      </c>
      <c r="I191" s="1" t="str">
        <f>TEXT(InputData[[#This Row],[DATE]],"MMM")</f>
        <v>Mar</v>
      </c>
      <c r="J191" s="1">
        <f>WEEKNUM(InputData[[#This Row],[DATE]])</f>
        <v>12</v>
      </c>
    </row>
    <row r="192" spans="1:10" x14ac:dyDescent="0.25">
      <c r="A192" s="3">
        <v>44273</v>
      </c>
      <c r="B192" s="6" t="s">
        <v>68</v>
      </c>
      <c r="C192" s="4" t="s">
        <v>27</v>
      </c>
      <c r="D192" s="5">
        <v>57.120000000000005</v>
      </c>
      <c r="E192" s="1">
        <v>10</v>
      </c>
      <c r="F192" s="1">
        <f>InputData[[#This Row],[UNIT PRICE ($)]]*InputData[[#This Row],[QUANTITY]]</f>
        <v>571.20000000000005</v>
      </c>
      <c r="G192" s="1" t="str">
        <f>VLOOKUP(InputData[[#This Row],[CUSTOMER NAME]],Country[#All],2,0)</f>
        <v>Russia</v>
      </c>
      <c r="H192" s="1" t="str">
        <f>VLOOKUP(InputData[[#This Row],[CUSTOMER NAME]],Country[#All],3,0)</f>
        <v>Export</v>
      </c>
      <c r="I192" s="1" t="str">
        <f>TEXT(InputData[[#This Row],[DATE]],"MMM")</f>
        <v>Mar</v>
      </c>
      <c r="J192" s="1">
        <f>WEEKNUM(InputData[[#This Row],[DATE]])</f>
        <v>12</v>
      </c>
    </row>
    <row r="193" spans="1:10" x14ac:dyDescent="0.25">
      <c r="A193" s="3">
        <v>44274</v>
      </c>
      <c r="B193" s="6" t="s">
        <v>65</v>
      </c>
      <c r="C193" s="4" t="s">
        <v>39</v>
      </c>
      <c r="D193" s="5">
        <v>42.55</v>
      </c>
      <c r="E193" s="1">
        <v>18</v>
      </c>
      <c r="F193" s="1">
        <f>InputData[[#This Row],[UNIT PRICE ($)]]*InputData[[#This Row],[QUANTITY]]</f>
        <v>765.9</v>
      </c>
      <c r="G193" s="1" t="str">
        <f>VLOOKUP(InputData[[#This Row],[CUSTOMER NAME]],Country[#All],2,0)</f>
        <v>Pakistan</v>
      </c>
      <c r="H193" s="1" t="str">
        <f>VLOOKUP(InputData[[#This Row],[CUSTOMER NAME]],Country[#All],3,0)</f>
        <v>Export</v>
      </c>
      <c r="I193" s="1" t="str">
        <f>TEXT(InputData[[#This Row],[DATE]],"MMM")</f>
        <v>Mar</v>
      </c>
      <c r="J193" s="1">
        <f>WEEKNUM(InputData[[#This Row],[DATE]])</f>
        <v>12</v>
      </c>
    </row>
    <row r="194" spans="1:10" x14ac:dyDescent="0.25">
      <c r="A194" s="3">
        <v>44274</v>
      </c>
      <c r="B194" s="6" t="s">
        <v>74</v>
      </c>
      <c r="C194" s="4" t="s">
        <v>6</v>
      </c>
      <c r="D194" s="5">
        <v>85.5</v>
      </c>
      <c r="E194" s="1">
        <v>17</v>
      </c>
      <c r="F194" s="1">
        <f>InputData[[#This Row],[UNIT PRICE ($)]]*InputData[[#This Row],[QUANTITY]]</f>
        <v>1453.5</v>
      </c>
      <c r="G194" s="1" t="str">
        <f>VLOOKUP(InputData[[#This Row],[CUSTOMER NAME]],Country[#All],2,0)</f>
        <v>Brazil</v>
      </c>
      <c r="H194" s="1" t="str">
        <f>VLOOKUP(InputData[[#This Row],[CUSTOMER NAME]],Country[#All],3,0)</f>
        <v>Export</v>
      </c>
      <c r="I194" s="1" t="str">
        <f>TEXT(InputData[[#This Row],[DATE]],"MMM")</f>
        <v>Mar</v>
      </c>
      <c r="J194" s="1">
        <f>WEEKNUM(InputData[[#This Row],[DATE]])</f>
        <v>12</v>
      </c>
    </row>
    <row r="195" spans="1:10" x14ac:dyDescent="0.25">
      <c r="A195" s="3">
        <v>44274</v>
      </c>
      <c r="B195" s="6" t="s">
        <v>80</v>
      </c>
      <c r="C195" s="4" t="s">
        <v>28</v>
      </c>
      <c r="D195" s="5">
        <v>41.81</v>
      </c>
      <c r="E195" s="1">
        <v>9</v>
      </c>
      <c r="F195" s="1">
        <f>InputData[[#This Row],[UNIT PRICE ($)]]*InputData[[#This Row],[QUANTITY]]</f>
        <v>376.29</v>
      </c>
      <c r="G195" s="1" t="str">
        <f>VLOOKUP(InputData[[#This Row],[CUSTOMER NAME]],Country[#All],2,0)</f>
        <v>South Africa</v>
      </c>
      <c r="H195" s="1" t="str">
        <f>VLOOKUP(InputData[[#This Row],[CUSTOMER NAME]],Country[#All],3,0)</f>
        <v>Export</v>
      </c>
      <c r="I195" s="1" t="str">
        <f>TEXT(InputData[[#This Row],[DATE]],"MMM")</f>
        <v>Mar</v>
      </c>
      <c r="J195" s="1">
        <f>WEEKNUM(InputData[[#This Row],[DATE]])</f>
        <v>12</v>
      </c>
    </row>
    <row r="196" spans="1:10" x14ac:dyDescent="0.25">
      <c r="A196" s="3">
        <v>44274</v>
      </c>
      <c r="B196" s="6" t="s">
        <v>83</v>
      </c>
      <c r="C196" s="4" t="s">
        <v>6</v>
      </c>
      <c r="D196" s="5">
        <v>85.5</v>
      </c>
      <c r="E196" s="1">
        <v>17</v>
      </c>
      <c r="F196" s="1">
        <f>InputData[[#This Row],[UNIT PRICE ($)]]*InputData[[#This Row],[QUANTITY]]</f>
        <v>1453.5</v>
      </c>
      <c r="G196" s="1" t="str">
        <f>VLOOKUP(InputData[[#This Row],[CUSTOMER NAME]],Country[#All],2,0)</f>
        <v>India</v>
      </c>
      <c r="H196" s="1" t="str">
        <f>VLOOKUP(InputData[[#This Row],[CUSTOMER NAME]],Country[#All],3,0)</f>
        <v>North</v>
      </c>
      <c r="I196" s="1" t="str">
        <f>TEXT(InputData[[#This Row],[DATE]],"MMM")</f>
        <v>Mar</v>
      </c>
      <c r="J196" s="1">
        <f>WEEKNUM(InputData[[#This Row],[DATE]])</f>
        <v>12</v>
      </c>
    </row>
    <row r="197" spans="1:10" x14ac:dyDescent="0.25">
      <c r="A197" s="3">
        <v>44274</v>
      </c>
      <c r="B197" s="6" t="s">
        <v>85</v>
      </c>
      <c r="C197" s="4" t="s">
        <v>2</v>
      </c>
      <c r="D197" s="5">
        <v>142.80000000000001</v>
      </c>
      <c r="E197" s="1">
        <v>15</v>
      </c>
      <c r="F197" s="1">
        <f>InputData[[#This Row],[UNIT PRICE ($)]]*InputData[[#This Row],[QUANTITY]]</f>
        <v>2142</v>
      </c>
      <c r="G197" s="1" t="str">
        <f>VLOOKUP(InputData[[#This Row],[CUSTOMER NAME]],Country[#All],2,0)</f>
        <v>India</v>
      </c>
      <c r="H197" s="1" t="str">
        <f>VLOOKUP(InputData[[#This Row],[CUSTOMER NAME]],Country[#All],3,0)</f>
        <v>Northeast</v>
      </c>
      <c r="I197" s="1" t="str">
        <f>TEXT(InputData[[#This Row],[DATE]],"MMM")</f>
        <v>Mar</v>
      </c>
      <c r="J197" s="1">
        <f>WEEKNUM(InputData[[#This Row],[DATE]])</f>
        <v>12</v>
      </c>
    </row>
    <row r="198" spans="1:10" x14ac:dyDescent="0.25">
      <c r="A198" s="3">
        <v>44274</v>
      </c>
      <c r="B198" s="6" t="s">
        <v>86</v>
      </c>
      <c r="C198" s="4" t="s">
        <v>41</v>
      </c>
      <c r="D198" s="5">
        <v>173.88</v>
      </c>
      <c r="E198" s="1">
        <v>6</v>
      </c>
      <c r="F198" s="1">
        <f>InputData[[#This Row],[UNIT PRICE ($)]]*InputData[[#This Row],[QUANTITY]]</f>
        <v>1043.28</v>
      </c>
      <c r="G198" s="1" t="str">
        <f>VLOOKUP(InputData[[#This Row],[CUSTOMER NAME]],Country[#All],2,0)</f>
        <v>India</v>
      </c>
      <c r="H198" s="1" t="str">
        <f>VLOOKUP(InputData[[#This Row],[CUSTOMER NAME]],Country[#All],3,0)</f>
        <v>South</v>
      </c>
      <c r="I198" s="1" t="str">
        <f>TEXT(InputData[[#This Row],[DATE]],"MMM")</f>
        <v>Mar</v>
      </c>
      <c r="J198" s="1">
        <f>WEEKNUM(InputData[[#This Row],[DATE]])</f>
        <v>12</v>
      </c>
    </row>
    <row r="199" spans="1:10" x14ac:dyDescent="0.25">
      <c r="A199" s="3">
        <v>44275</v>
      </c>
      <c r="B199" s="6" t="s">
        <v>61</v>
      </c>
      <c r="C199" s="4" t="s">
        <v>24</v>
      </c>
      <c r="D199" s="5">
        <v>156.96</v>
      </c>
      <c r="E199" s="1">
        <v>23</v>
      </c>
      <c r="F199" s="1">
        <f>InputData[[#This Row],[UNIT PRICE ($)]]*InputData[[#This Row],[QUANTITY]]</f>
        <v>3610.0800000000004</v>
      </c>
      <c r="G199" s="1" t="str">
        <f>VLOOKUP(InputData[[#This Row],[CUSTOMER NAME]],Country[#All],2,0)</f>
        <v>Bangladesh</v>
      </c>
      <c r="H199" s="1" t="str">
        <f>VLOOKUP(InputData[[#This Row],[CUSTOMER NAME]],Country[#All],3,0)</f>
        <v>Export</v>
      </c>
      <c r="I199" s="1" t="str">
        <f>TEXT(InputData[[#This Row],[DATE]],"MMM")</f>
        <v>Mar</v>
      </c>
      <c r="J199" s="1">
        <f>WEEKNUM(InputData[[#This Row],[DATE]])</f>
        <v>12</v>
      </c>
    </row>
    <row r="200" spans="1:10" x14ac:dyDescent="0.25">
      <c r="A200" s="3">
        <v>44275</v>
      </c>
      <c r="B200" s="6" t="s">
        <v>64</v>
      </c>
      <c r="C200" s="4" t="s">
        <v>38</v>
      </c>
      <c r="D200" s="5">
        <v>79.92</v>
      </c>
      <c r="E200" s="1">
        <v>21</v>
      </c>
      <c r="F200" s="1">
        <f>InputData[[#This Row],[UNIT PRICE ($)]]*InputData[[#This Row],[QUANTITY]]</f>
        <v>1678.32</v>
      </c>
      <c r="G200" s="1" t="str">
        <f>VLOOKUP(InputData[[#This Row],[CUSTOMER NAME]],Country[#All],2,0)</f>
        <v>India</v>
      </c>
      <c r="H200" s="1" t="str">
        <f>VLOOKUP(InputData[[#This Row],[CUSTOMER NAME]],Country[#All],3,0)</f>
        <v>Northeast</v>
      </c>
      <c r="I200" s="1" t="str">
        <f>TEXT(InputData[[#This Row],[DATE]],"MMM")</f>
        <v>Mar</v>
      </c>
      <c r="J200" s="1">
        <f>WEEKNUM(InputData[[#This Row],[DATE]])</f>
        <v>12</v>
      </c>
    </row>
    <row r="201" spans="1:10" x14ac:dyDescent="0.25">
      <c r="A201" s="3">
        <v>44275</v>
      </c>
      <c r="B201" s="6" t="s">
        <v>112</v>
      </c>
      <c r="C201" s="4" t="s">
        <v>16</v>
      </c>
      <c r="D201" s="5">
        <v>16.64</v>
      </c>
      <c r="E201" s="1">
        <v>13</v>
      </c>
      <c r="F201" s="1">
        <f>InputData[[#This Row],[UNIT PRICE ($)]]*InputData[[#This Row],[QUANTITY]]</f>
        <v>216.32</v>
      </c>
      <c r="G201" s="1" t="str">
        <f>VLOOKUP(InputData[[#This Row],[CUSTOMER NAME]],Country[#All],2,0)</f>
        <v>India</v>
      </c>
      <c r="H201" s="1" t="str">
        <f>VLOOKUP(InputData[[#This Row],[CUSTOMER NAME]],Country[#All],3,0)</f>
        <v>North</v>
      </c>
      <c r="I201" s="1" t="str">
        <f>TEXT(InputData[[#This Row],[DATE]],"MMM")</f>
        <v>Mar</v>
      </c>
      <c r="J201" s="1">
        <f>WEEKNUM(InputData[[#This Row],[DATE]])</f>
        <v>12</v>
      </c>
    </row>
    <row r="202" spans="1:10" x14ac:dyDescent="0.25">
      <c r="A202" s="3">
        <v>44276</v>
      </c>
      <c r="B202" s="6" t="s">
        <v>68</v>
      </c>
      <c r="C202" s="4" t="s">
        <v>39</v>
      </c>
      <c r="D202" s="5">
        <v>42.55</v>
      </c>
      <c r="E202" s="1">
        <v>7</v>
      </c>
      <c r="F202" s="1">
        <f>InputData[[#This Row],[UNIT PRICE ($)]]*InputData[[#This Row],[QUANTITY]]</f>
        <v>297.84999999999997</v>
      </c>
      <c r="G202" s="1" t="str">
        <f>VLOOKUP(InputData[[#This Row],[CUSTOMER NAME]],Country[#All],2,0)</f>
        <v>Russia</v>
      </c>
      <c r="H202" s="1" t="str">
        <f>VLOOKUP(InputData[[#This Row],[CUSTOMER NAME]],Country[#All],3,0)</f>
        <v>Export</v>
      </c>
      <c r="I202" s="1" t="str">
        <f>TEXT(InputData[[#This Row],[DATE]],"MMM")</f>
        <v>Mar</v>
      </c>
      <c r="J202" s="1">
        <f>WEEKNUM(InputData[[#This Row],[DATE]])</f>
        <v>13</v>
      </c>
    </row>
    <row r="203" spans="1:10" x14ac:dyDescent="0.25">
      <c r="A203" s="3">
        <v>44276</v>
      </c>
      <c r="B203" s="6" t="s">
        <v>71</v>
      </c>
      <c r="C203" s="4" t="s">
        <v>1</v>
      </c>
      <c r="D203" s="5">
        <v>103.88</v>
      </c>
      <c r="E203" s="1">
        <v>18</v>
      </c>
      <c r="F203" s="1">
        <f>InputData[[#This Row],[UNIT PRICE ($)]]*InputData[[#This Row],[QUANTITY]]</f>
        <v>1869.84</v>
      </c>
      <c r="G203" s="1" t="str">
        <f>VLOOKUP(InputData[[#This Row],[CUSTOMER NAME]],Country[#All],2,0)</f>
        <v>India</v>
      </c>
      <c r="H203" s="1" t="str">
        <f>VLOOKUP(InputData[[#This Row],[CUSTOMER NAME]],Country[#All],3,0)</f>
        <v>Central</v>
      </c>
      <c r="I203" s="1" t="str">
        <f>TEXT(InputData[[#This Row],[DATE]],"MMM")</f>
        <v>Mar</v>
      </c>
      <c r="J203" s="1">
        <f>WEEKNUM(InputData[[#This Row],[DATE]])</f>
        <v>13</v>
      </c>
    </row>
    <row r="204" spans="1:10" x14ac:dyDescent="0.25">
      <c r="A204" s="3">
        <v>44276</v>
      </c>
      <c r="B204" s="6" t="s">
        <v>112</v>
      </c>
      <c r="C204" s="4" t="s">
        <v>20</v>
      </c>
      <c r="D204" s="5">
        <v>76.25</v>
      </c>
      <c r="E204" s="1">
        <v>13</v>
      </c>
      <c r="F204" s="1">
        <f>InputData[[#This Row],[UNIT PRICE ($)]]*InputData[[#This Row],[QUANTITY]]</f>
        <v>991.25</v>
      </c>
      <c r="G204" s="1" t="str">
        <f>VLOOKUP(InputData[[#This Row],[CUSTOMER NAME]],Country[#All],2,0)</f>
        <v>India</v>
      </c>
      <c r="H204" s="1" t="str">
        <f>VLOOKUP(InputData[[#This Row],[CUSTOMER NAME]],Country[#All],3,0)</f>
        <v>North</v>
      </c>
      <c r="I204" s="1" t="str">
        <f>TEXT(InputData[[#This Row],[DATE]],"MMM")</f>
        <v>Mar</v>
      </c>
      <c r="J204" s="1">
        <f>WEEKNUM(InputData[[#This Row],[DATE]])</f>
        <v>13</v>
      </c>
    </row>
    <row r="205" spans="1:10" x14ac:dyDescent="0.25">
      <c r="A205" s="3">
        <v>44277</v>
      </c>
      <c r="B205" s="6" t="s">
        <v>71</v>
      </c>
      <c r="C205" s="4" t="s">
        <v>2</v>
      </c>
      <c r="D205" s="5">
        <v>142.80000000000001</v>
      </c>
      <c r="E205" s="1">
        <v>8</v>
      </c>
      <c r="F205" s="1">
        <f>InputData[[#This Row],[UNIT PRICE ($)]]*InputData[[#This Row],[QUANTITY]]</f>
        <v>1142.4000000000001</v>
      </c>
      <c r="G205" s="1" t="str">
        <f>VLOOKUP(InputData[[#This Row],[CUSTOMER NAME]],Country[#All],2,0)</f>
        <v>India</v>
      </c>
      <c r="H205" s="1" t="str">
        <f>VLOOKUP(InputData[[#This Row],[CUSTOMER NAME]],Country[#All],3,0)</f>
        <v>Central</v>
      </c>
      <c r="I205" s="1" t="str">
        <f>TEXT(InputData[[#This Row],[DATE]],"MMM")</f>
        <v>Mar</v>
      </c>
      <c r="J205" s="1">
        <f>WEEKNUM(InputData[[#This Row],[DATE]])</f>
        <v>13</v>
      </c>
    </row>
    <row r="206" spans="1:10" x14ac:dyDescent="0.25">
      <c r="A206" s="3">
        <v>44277</v>
      </c>
      <c r="B206" s="6" t="s">
        <v>73</v>
      </c>
      <c r="C206" s="4" t="s">
        <v>12</v>
      </c>
      <c r="D206" s="5">
        <v>94.17</v>
      </c>
      <c r="E206" s="1">
        <v>4</v>
      </c>
      <c r="F206" s="1">
        <f>InputData[[#This Row],[UNIT PRICE ($)]]*InputData[[#This Row],[QUANTITY]]</f>
        <v>376.68</v>
      </c>
      <c r="G206" s="1" t="str">
        <f>VLOOKUP(InputData[[#This Row],[CUSTOMER NAME]],Country[#All],2,0)</f>
        <v>India</v>
      </c>
      <c r="H206" s="1" t="str">
        <f>VLOOKUP(InputData[[#This Row],[CUSTOMER NAME]],Country[#All],3,0)</f>
        <v>East</v>
      </c>
      <c r="I206" s="1" t="str">
        <f>TEXT(InputData[[#This Row],[DATE]],"MMM")</f>
        <v>Mar</v>
      </c>
      <c r="J206" s="1">
        <f>WEEKNUM(InputData[[#This Row],[DATE]])</f>
        <v>13</v>
      </c>
    </row>
    <row r="207" spans="1:10" x14ac:dyDescent="0.25">
      <c r="A207" s="3">
        <v>44277</v>
      </c>
      <c r="B207" s="6" t="s">
        <v>84</v>
      </c>
      <c r="C207" s="4" t="s">
        <v>27</v>
      </c>
      <c r="D207" s="5">
        <v>57.120000000000005</v>
      </c>
      <c r="E207" s="1">
        <v>30</v>
      </c>
      <c r="F207" s="1">
        <f>InputData[[#This Row],[UNIT PRICE ($)]]*InputData[[#This Row],[QUANTITY]]</f>
        <v>1713.6000000000001</v>
      </c>
      <c r="G207" s="1" t="str">
        <f>VLOOKUP(InputData[[#This Row],[CUSTOMER NAME]],Country[#All],2,0)</f>
        <v>Ethiopia</v>
      </c>
      <c r="H207" s="1" t="str">
        <f>VLOOKUP(InputData[[#This Row],[CUSTOMER NAME]],Country[#All],3,0)</f>
        <v>Export</v>
      </c>
      <c r="I207" s="1" t="str">
        <f>TEXT(InputData[[#This Row],[DATE]],"MMM")</f>
        <v>Mar</v>
      </c>
      <c r="J207" s="1">
        <f>WEEKNUM(InputData[[#This Row],[DATE]])</f>
        <v>13</v>
      </c>
    </row>
    <row r="208" spans="1:10" x14ac:dyDescent="0.25">
      <c r="A208" s="3">
        <v>44278</v>
      </c>
      <c r="B208" s="6" t="s">
        <v>86</v>
      </c>
      <c r="C208" s="4" t="s">
        <v>32</v>
      </c>
      <c r="D208" s="5">
        <v>117.48</v>
      </c>
      <c r="E208" s="1">
        <v>9</v>
      </c>
      <c r="F208" s="1">
        <f>InputData[[#This Row],[UNIT PRICE ($)]]*InputData[[#This Row],[QUANTITY]]</f>
        <v>1057.32</v>
      </c>
      <c r="G208" s="1" t="str">
        <f>VLOOKUP(InputData[[#This Row],[CUSTOMER NAME]],Country[#All],2,0)</f>
        <v>India</v>
      </c>
      <c r="H208" s="1" t="str">
        <f>VLOOKUP(InputData[[#This Row],[CUSTOMER NAME]],Country[#All],3,0)</f>
        <v>South</v>
      </c>
      <c r="I208" s="1" t="str">
        <f>TEXT(InputData[[#This Row],[DATE]],"MMM")</f>
        <v>Mar</v>
      </c>
      <c r="J208" s="1">
        <f>WEEKNUM(InputData[[#This Row],[DATE]])</f>
        <v>13</v>
      </c>
    </row>
    <row r="209" spans="1:10" x14ac:dyDescent="0.25">
      <c r="A209" s="3">
        <v>44280</v>
      </c>
      <c r="B209" s="6" t="s">
        <v>62</v>
      </c>
      <c r="C209" s="4" t="s">
        <v>29</v>
      </c>
      <c r="D209" s="5">
        <v>53.11</v>
      </c>
      <c r="E209" s="1">
        <v>8</v>
      </c>
      <c r="F209" s="1">
        <f>InputData[[#This Row],[UNIT PRICE ($)]]*InputData[[#This Row],[QUANTITY]]</f>
        <v>424.88</v>
      </c>
      <c r="G209" s="1" t="str">
        <f>VLOOKUP(InputData[[#This Row],[CUSTOMER NAME]],Country[#All],2,0)</f>
        <v>India</v>
      </c>
      <c r="H209" s="1" t="str">
        <f>VLOOKUP(InputData[[#This Row],[CUSTOMER NAME]],Country[#All],3,0)</f>
        <v>Northeast</v>
      </c>
      <c r="I209" s="1" t="str">
        <f>TEXT(InputData[[#This Row],[DATE]],"MMM")</f>
        <v>Mar</v>
      </c>
      <c r="J209" s="1">
        <f>WEEKNUM(InputData[[#This Row],[DATE]])</f>
        <v>13</v>
      </c>
    </row>
    <row r="210" spans="1:10" x14ac:dyDescent="0.25">
      <c r="A210" s="3">
        <v>44280</v>
      </c>
      <c r="B210" s="6" t="s">
        <v>63</v>
      </c>
      <c r="C210" s="4" t="s">
        <v>1</v>
      </c>
      <c r="D210" s="5">
        <v>103.88</v>
      </c>
      <c r="E210" s="1">
        <v>2</v>
      </c>
      <c r="F210" s="1">
        <f>InputData[[#This Row],[UNIT PRICE ($)]]*InputData[[#This Row],[QUANTITY]]</f>
        <v>207.76</v>
      </c>
      <c r="G210" s="1" t="str">
        <f>VLOOKUP(InputData[[#This Row],[CUSTOMER NAME]],Country[#All],2,0)</f>
        <v>Saudi Arabia</v>
      </c>
      <c r="H210" s="1" t="str">
        <f>VLOOKUP(InputData[[#This Row],[CUSTOMER NAME]],Country[#All],3,0)</f>
        <v>Export</v>
      </c>
      <c r="I210" s="1" t="str">
        <f>TEXT(InputData[[#This Row],[DATE]],"MMM")</f>
        <v>Mar</v>
      </c>
      <c r="J210" s="1">
        <f>WEEKNUM(InputData[[#This Row],[DATE]])</f>
        <v>13</v>
      </c>
    </row>
    <row r="211" spans="1:10" x14ac:dyDescent="0.25">
      <c r="A211" s="3">
        <v>44280</v>
      </c>
      <c r="B211" s="6" t="s">
        <v>63</v>
      </c>
      <c r="C211" s="4" t="s">
        <v>17</v>
      </c>
      <c r="D211" s="5">
        <v>156.78</v>
      </c>
      <c r="E211" s="1">
        <v>26</v>
      </c>
      <c r="F211" s="1">
        <f>InputData[[#This Row],[UNIT PRICE ($)]]*InputData[[#This Row],[QUANTITY]]</f>
        <v>4076.28</v>
      </c>
      <c r="G211" s="1" t="str">
        <f>VLOOKUP(InputData[[#This Row],[CUSTOMER NAME]],Country[#All],2,0)</f>
        <v>Saudi Arabia</v>
      </c>
      <c r="H211" s="1" t="str">
        <f>VLOOKUP(InputData[[#This Row],[CUSTOMER NAME]],Country[#All],3,0)</f>
        <v>Export</v>
      </c>
      <c r="I211" s="1" t="str">
        <f>TEXT(InputData[[#This Row],[DATE]],"MMM")</f>
        <v>Mar</v>
      </c>
      <c r="J211" s="1">
        <f>WEEKNUM(InputData[[#This Row],[DATE]])</f>
        <v>13</v>
      </c>
    </row>
    <row r="212" spans="1:10" x14ac:dyDescent="0.25">
      <c r="A212" s="3">
        <v>44280</v>
      </c>
      <c r="B212" s="6" t="s">
        <v>68</v>
      </c>
      <c r="C212" s="4" t="s">
        <v>30</v>
      </c>
      <c r="D212" s="5">
        <v>201.28</v>
      </c>
      <c r="E212" s="1">
        <v>11</v>
      </c>
      <c r="F212" s="1">
        <f>InputData[[#This Row],[UNIT PRICE ($)]]*InputData[[#This Row],[QUANTITY]]</f>
        <v>2214.08</v>
      </c>
      <c r="G212" s="1" t="str">
        <f>VLOOKUP(InputData[[#This Row],[CUSTOMER NAME]],Country[#All],2,0)</f>
        <v>Russia</v>
      </c>
      <c r="H212" s="1" t="str">
        <f>VLOOKUP(InputData[[#This Row],[CUSTOMER NAME]],Country[#All],3,0)</f>
        <v>Export</v>
      </c>
      <c r="I212" s="1" t="str">
        <f>TEXT(InputData[[#This Row],[DATE]],"MMM")</f>
        <v>Mar</v>
      </c>
      <c r="J212" s="1">
        <f>WEEKNUM(InputData[[#This Row],[DATE]])</f>
        <v>13</v>
      </c>
    </row>
    <row r="213" spans="1:10" x14ac:dyDescent="0.25">
      <c r="A213" s="3">
        <v>44280</v>
      </c>
      <c r="B213" s="6" t="s">
        <v>73</v>
      </c>
      <c r="C213" s="4" t="s">
        <v>24</v>
      </c>
      <c r="D213" s="5">
        <v>156.96</v>
      </c>
      <c r="E213" s="1">
        <v>14</v>
      </c>
      <c r="F213" s="1">
        <f>InputData[[#This Row],[UNIT PRICE ($)]]*InputData[[#This Row],[QUANTITY]]</f>
        <v>2197.44</v>
      </c>
      <c r="G213" s="1" t="str">
        <f>VLOOKUP(InputData[[#This Row],[CUSTOMER NAME]],Country[#All],2,0)</f>
        <v>India</v>
      </c>
      <c r="H213" s="1" t="str">
        <f>VLOOKUP(InputData[[#This Row],[CUSTOMER NAME]],Country[#All],3,0)</f>
        <v>East</v>
      </c>
      <c r="I213" s="1" t="str">
        <f>TEXT(InputData[[#This Row],[DATE]],"MMM")</f>
        <v>Mar</v>
      </c>
      <c r="J213" s="1">
        <f>WEEKNUM(InputData[[#This Row],[DATE]])</f>
        <v>13</v>
      </c>
    </row>
    <row r="214" spans="1:10" x14ac:dyDescent="0.25">
      <c r="A214" s="3">
        <v>44280</v>
      </c>
      <c r="B214" s="6" t="s">
        <v>74</v>
      </c>
      <c r="C214" s="4" t="s">
        <v>6</v>
      </c>
      <c r="D214" s="5">
        <v>85.5</v>
      </c>
      <c r="E214" s="1">
        <v>4</v>
      </c>
      <c r="F214" s="1">
        <f>InputData[[#This Row],[UNIT PRICE ($)]]*InputData[[#This Row],[QUANTITY]]</f>
        <v>342</v>
      </c>
      <c r="G214" s="1" t="str">
        <f>VLOOKUP(InputData[[#This Row],[CUSTOMER NAME]],Country[#All],2,0)</f>
        <v>Brazil</v>
      </c>
      <c r="H214" s="1" t="str">
        <f>VLOOKUP(InputData[[#This Row],[CUSTOMER NAME]],Country[#All],3,0)</f>
        <v>Export</v>
      </c>
      <c r="I214" s="1" t="str">
        <f>TEXT(InputData[[#This Row],[DATE]],"MMM")</f>
        <v>Mar</v>
      </c>
      <c r="J214" s="1">
        <f>WEEKNUM(InputData[[#This Row],[DATE]])</f>
        <v>13</v>
      </c>
    </row>
    <row r="215" spans="1:10" x14ac:dyDescent="0.25">
      <c r="A215" s="3">
        <v>44280</v>
      </c>
      <c r="B215" s="6" t="s">
        <v>81</v>
      </c>
      <c r="C215" s="4" t="s">
        <v>38</v>
      </c>
      <c r="D215" s="5">
        <v>79.92</v>
      </c>
      <c r="E215" s="1">
        <v>2</v>
      </c>
      <c r="F215" s="1">
        <f>InputData[[#This Row],[UNIT PRICE ($)]]*InputData[[#This Row],[QUANTITY]]</f>
        <v>159.84</v>
      </c>
      <c r="G215" s="1" t="str">
        <f>VLOOKUP(InputData[[#This Row],[CUSTOMER NAME]],Country[#All],2,0)</f>
        <v>India</v>
      </c>
      <c r="H215" s="1" t="str">
        <f>VLOOKUP(InputData[[#This Row],[CUSTOMER NAME]],Country[#All],3,0)</f>
        <v>East</v>
      </c>
      <c r="I215" s="1" t="str">
        <f>TEXT(InputData[[#This Row],[DATE]],"MMM")</f>
        <v>Mar</v>
      </c>
      <c r="J215" s="1">
        <f>WEEKNUM(InputData[[#This Row],[DATE]])</f>
        <v>13</v>
      </c>
    </row>
    <row r="216" spans="1:10" x14ac:dyDescent="0.25">
      <c r="A216" s="3">
        <v>44281</v>
      </c>
      <c r="B216" s="6" t="s">
        <v>65</v>
      </c>
      <c r="C216" s="4" t="s">
        <v>10</v>
      </c>
      <c r="D216" s="5">
        <v>164.28</v>
      </c>
      <c r="E216" s="1">
        <v>9</v>
      </c>
      <c r="F216" s="1">
        <f>InputData[[#This Row],[UNIT PRICE ($)]]*InputData[[#This Row],[QUANTITY]]</f>
        <v>1478.52</v>
      </c>
      <c r="G216" s="1" t="str">
        <f>VLOOKUP(InputData[[#This Row],[CUSTOMER NAME]],Country[#All],2,0)</f>
        <v>Pakistan</v>
      </c>
      <c r="H216" s="1" t="str">
        <f>VLOOKUP(InputData[[#This Row],[CUSTOMER NAME]],Country[#All],3,0)</f>
        <v>Export</v>
      </c>
      <c r="I216" s="1" t="str">
        <f>TEXT(InputData[[#This Row],[DATE]],"MMM")</f>
        <v>Mar</v>
      </c>
      <c r="J216" s="1">
        <f>WEEKNUM(InputData[[#This Row],[DATE]])</f>
        <v>13</v>
      </c>
    </row>
    <row r="217" spans="1:10" x14ac:dyDescent="0.25">
      <c r="A217" s="3">
        <v>44281</v>
      </c>
      <c r="B217" s="6" t="s">
        <v>110</v>
      </c>
      <c r="C217" s="4" t="s">
        <v>1</v>
      </c>
      <c r="D217" s="5">
        <v>103.88</v>
      </c>
      <c r="E217" s="1">
        <v>4</v>
      </c>
      <c r="F217" s="1">
        <f>InputData[[#This Row],[UNIT PRICE ($)]]*InputData[[#This Row],[QUANTITY]]</f>
        <v>415.52</v>
      </c>
      <c r="G217" s="1" t="str">
        <f>VLOOKUP(InputData[[#This Row],[CUSTOMER NAME]],Country[#All],2,0)</f>
        <v>India</v>
      </c>
      <c r="H217" s="1" t="str">
        <f>VLOOKUP(InputData[[#This Row],[CUSTOMER NAME]],Country[#All],3,0)</f>
        <v>Western</v>
      </c>
      <c r="I217" s="1" t="str">
        <f>TEXT(InputData[[#This Row],[DATE]],"MMM")</f>
        <v>Mar</v>
      </c>
      <c r="J217" s="1">
        <f>WEEKNUM(InputData[[#This Row],[DATE]])</f>
        <v>13</v>
      </c>
    </row>
    <row r="218" spans="1:10" x14ac:dyDescent="0.25">
      <c r="A218" s="3">
        <v>44281</v>
      </c>
      <c r="B218" s="6" t="s">
        <v>112</v>
      </c>
      <c r="C218" s="4" t="s">
        <v>42</v>
      </c>
      <c r="D218" s="5">
        <v>162</v>
      </c>
      <c r="E218" s="1">
        <v>1</v>
      </c>
      <c r="F218" s="1">
        <f>InputData[[#This Row],[UNIT PRICE ($)]]*InputData[[#This Row],[QUANTITY]]</f>
        <v>162</v>
      </c>
      <c r="G218" s="1" t="str">
        <f>VLOOKUP(InputData[[#This Row],[CUSTOMER NAME]],Country[#All],2,0)</f>
        <v>India</v>
      </c>
      <c r="H218" s="1" t="str">
        <f>VLOOKUP(InputData[[#This Row],[CUSTOMER NAME]],Country[#All],3,0)</f>
        <v>North</v>
      </c>
      <c r="I218" s="1" t="str">
        <f>TEXT(InputData[[#This Row],[DATE]],"MMM")</f>
        <v>Mar</v>
      </c>
      <c r="J218" s="1">
        <f>WEEKNUM(InputData[[#This Row],[DATE]])</f>
        <v>13</v>
      </c>
    </row>
    <row r="219" spans="1:10" x14ac:dyDescent="0.25">
      <c r="A219" s="3">
        <v>44281</v>
      </c>
      <c r="B219" s="6" t="s">
        <v>89</v>
      </c>
      <c r="C219" s="4" t="s">
        <v>33</v>
      </c>
      <c r="D219" s="5">
        <v>119.7</v>
      </c>
      <c r="E219" s="1">
        <v>25</v>
      </c>
      <c r="F219" s="1">
        <f>InputData[[#This Row],[UNIT PRICE ($)]]*InputData[[#This Row],[QUANTITY]]</f>
        <v>2992.5</v>
      </c>
      <c r="G219" s="1" t="str">
        <f>VLOOKUP(InputData[[#This Row],[CUSTOMER NAME]],Country[#All],2,0)</f>
        <v>Mexico</v>
      </c>
      <c r="H219" s="1" t="str">
        <f>VLOOKUP(InputData[[#This Row],[CUSTOMER NAME]],Country[#All],3,0)</f>
        <v>Export</v>
      </c>
      <c r="I219" s="1" t="str">
        <f>TEXT(InputData[[#This Row],[DATE]],"MMM")</f>
        <v>Mar</v>
      </c>
      <c r="J219" s="1">
        <f>WEEKNUM(InputData[[#This Row],[DATE]])</f>
        <v>13</v>
      </c>
    </row>
    <row r="220" spans="1:10" x14ac:dyDescent="0.25">
      <c r="A220" s="3">
        <v>44282</v>
      </c>
      <c r="B220" s="6" t="s">
        <v>113</v>
      </c>
      <c r="C220" s="4" t="s">
        <v>30</v>
      </c>
      <c r="D220" s="5">
        <v>201.28</v>
      </c>
      <c r="E220" s="1">
        <v>3</v>
      </c>
      <c r="F220" s="1">
        <f>InputData[[#This Row],[UNIT PRICE ($)]]*InputData[[#This Row],[QUANTITY]]</f>
        <v>603.84</v>
      </c>
      <c r="G220" s="1" t="str">
        <f>VLOOKUP(InputData[[#This Row],[CUSTOMER NAME]],Country[#All],2,0)</f>
        <v>Pakistan</v>
      </c>
      <c r="H220" s="1" t="str">
        <f>VLOOKUP(InputData[[#This Row],[CUSTOMER NAME]],Country[#All],3,0)</f>
        <v>Export</v>
      </c>
      <c r="I220" s="1" t="str">
        <f>TEXT(InputData[[#This Row],[DATE]],"MMM")</f>
        <v>Mar</v>
      </c>
      <c r="J220" s="1">
        <f>WEEKNUM(InputData[[#This Row],[DATE]])</f>
        <v>13</v>
      </c>
    </row>
    <row r="221" spans="1:10" x14ac:dyDescent="0.25">
      <c r="A221" s="3">
        <v>44283</v>
      </c>
      <c r="B221" s="6" t="s">
        <v>60</v>
      </c>
      <c r="C221" s="4" t="s">
        <v>40</v>
      </c>
      <c r="D221" s="5">
        <v>115.2</v>
      </c>
      <c r="E221" s="1">
        <v>13</v>
      </c>
      <c r="F221" s="1">
        <f>InputData[[#This Row],[UNIT PRICE ($)]]*InputData[[#This Row],[QUANTITY]]</f>
        <v>1497.6000000000001</v>
      </c>
      <c r="G221" s="1" t="str">
        <f>VLOOKUP(InputData[[#This Row],[CUSTOMER NAME]],Country[#All],2,0)</f>
        <v>Nigeria</v>
      </c>
      <c r="H221" s="1" t="str">
        <f>VLOOKUP(InputData[[#This Row],[CUSTOMER NAME]],Country[#All],3,0)</f>
        <v>Export</v>
      </c>
      <c r="I221" s="1" t="str">
        <f>TEXT(InputData[[#This Row],[DATE]],"MMM")</f>
        <v>Mar</v>
      </c>
      <c r="J221" s="1">
        <f>WEEKNUM(InputData[[#This Row],[DATE]])</f>
        <v>14</v>
      </c>
    </row>
    <row r="222" spans="1:10" x14ac:dyDescent="0.25">
      <c r="A222" s="3">
        <v>44283</v>
      </c>
      <c r="B222" s="6" t="s">
        <v>61</v>
      </c>
      <c r="C222" s="4" t="s">
        <v>37</v>
      </c>
      <c r="D222" s="5">
        <v>85.76</v>
      </c>
      <c r="E222" s="1">
        <v>3</v>
      </c>
      <c r="F222" s="1">
        <f>InputData[[#This Row],[UNIT PRICE ($)]]*InputData[[#This Row],[QUANTITY]]</f>
        <v>257.28000000000003</v>
      </c>
      <c r="G222" s="1" t="str">
        <f>VLOOKUP(InputData[[#This Row],[CUSTOMER NAME]],Country[#All],2,0)</f>
        <v>Bangladesh</v>
      </c>
      <c r="H222" s="1" t="str">
        <f>VLOOKUP(InputData[[#This Row],[CUSTOMER NAME]],Country[#All],3,0)</f>
        <v>Export</v>
      </c>
      <c r="I222" s="1" t="str">
        <f>TEXT(InputData[[#This Row],[DATE]],"MMM")</f>
        <v>Mar</v>
      </c>
      <c r="J222" s="1">
        <f>WEEKNUM(InputData[[#This Row],[DATE]])</f>
        <v>14</v>
      </c>
    </row>
    <row r="223" spans="1:10" x14ac:dyDescent="0.25">
      <c r="A223" s="3">
        <v>44283</v>
      </c>
      <c r="B223" s="6" t="s">
        <v>85</v>
      </c>
      <c r="C223" s="4" t="s">
        <v>7</v>
      </c>
      <c r="D223" s="5">
        <v>47.730000000000004</v>
      </c>
      <c r="E223" s="1">
        <v>8</v>
      </c>
      <c r="F223" s="1">
        <f>InputData[[#This Row],[UNIT PRICE ($)]]*InputData[[#This Row],[QUANTITY]]</f>
        <v>381.84000000000003</v>
      </c>
      <c r="G223" s="1" t="str">
        <f>VLOOKUP(InputData[[#This Row],[CUSTOMER NAME]],Country[#All],2,0)</f>
        <v>India</v>
      </c>
      <c r="H223" s="1" t="str">
        <f>VLOOKUP(InputData[[#This Row],[CUSTOMER NAME]],Country[#All],3,0)</f>
        <v>Northeast</v>
      </c>
      <c r="I223" s="1" t="str">
        <f>TEXT(InputData[[#This Row],[DATE]],"MMM")</f>
        <v>Mar</v>
      </c>
      <c r="J223" s="1">
        <f>WEEKNUM(InputData[[#This Row],[DATE]])</f>
        <v>14</v>
      </c>
    </row>
    <row r="224" spans="1:10" x14ac:dyDescent="0.25">
      <c r="A224" s="3">
        <v>44284</v>
      </c>
      <c r="B224" s="6" t="s">
        <v>61</v>
      </c>
      <c r="C224" s="4" t="s">
        <v>32</v>
      </c>
      <c r="D224" s="5">
        <v>117.48</v>
      </c>
      <c r="E224" s="1">
        <v>12</v>
      </c>
      <c r="F224" s="1">
        <f>InputData[[#This Row],[UNIT PRICE ($)]]*InputData[[#This Row],[QUANTITY]]</f>
        <v>1409.76</v>
      </c>
      <c r="G224" s="1" t="str">
        <f>VLOOKUP(InputData[[#This Row],[CUSTOMER NAME]],Country[#All],2,0)</f>
        <v>Bangladesh</v>
      </c>
      <c r="H224" s="1" t="str">
        <f>VLOOKUP(InputData[[#This Row],[CUSTOMER NAME]],Country[#All],3,0)</f>
        <v>Export</v>
      </c>
      <c r="I224" s="1" t="str">
        <f>TEXT(InputData[[#This Row],[DATE]],"MMM")</f>
        <v>Mar</v>
      </c>
      <c r="J224" s="1">
        <f>WEEKNUM(InputData[[#This Row],[DATE]])</f>
        <v>14</v>
      </c>
    </row>
    <row r="225" spans="1:10" x14ac:dyDescent="0.25">
      <c r="A225" s="3">
        <v>44284</v>
      </c>
      <c r="B225" s="6" t="s">
        <v>84</v>
      </c>
      <c r="C225" s="4" t="s">
        <v>35</v>
      </c>
      <c r="D225" s="5">
        <v>6.7</v>
      </c>
      <c r="E225" s="1">
        <v>32</v>
      </c>
      <c r="F225" s="1">
        <f>InputData[[#This Row],[UNIT PRICE ($)]]*InputData[[#This Row],[QUANTITY]]</f>
        <v>214.4</v>
      </c>
      <c r="G225" s="1" t="str">
        <f>VLOOKUP(InputData[[#This Row],[CUSTOMER NAME]],Country[#All],2,0)</f>
        <v>Ethiopia</v>
      </c>
      <c r="H225" s="1" t="str">
        <f>VLOOKUP(InputData[[#This Row],[CUSTOMER NAME]],Country[#All],3,0)</f>
        <v>Export</v>
      </c>
      <c r="I225" s="1" t="str">
        <f>TEXT(InputData[[#This Row],[DATE]],"MMM")</f>
        <v>Mar</v>
      </c>
      <c r="J225" s="1">
        <f>WEEKNUM(InputData[[#This Row],[DATE]])</f>
        <v>14</v>
      </c>
    </row>
    <row r="226" spans="1:10" x14ac:dyDescent="0.25">
      <c r="A226" s="3">
        <v>44285</v>
      </c>
      <c r="B226" s="6" t="s">
        <v>63</v>
      </c>
      <c r="C226" s="4" t="s">
        <v>38</v>
      </c>
      <c r="D226" s="5">
        <v>79.92</v>
      </c>
      <c r="E226" s="1">
        <v>1</v>
      </c>
      <c r="F226" s="1">
        <f>InputData[[#This Row],[UNIT PRICE ($)]]*InputData[[#This Row],[QUANTITY]]</f>
        <v>79.92</v>
      </c>
      <c r="G226" s="1" t="str">
        <f>VLOOKUP(InputData[[#This Row],[CUSTOMER NAME]],Country[#All],2,0)</f>
        <v>Saudi Arabia</v>
      </c>
      <c r="H226" s="1" t="str">
        <f>VLOOKUP(InputData[[#This Row],[CUSTOMER NAME]],Country[#All],3,0)</f>
        <v>Export</v>
      </c>
      <c r="I226" s="1" t="str">
        <f>TEXT(InputData[[#This Row],[DATE]],"MMM")</f>
        <v>Mar</v>
      </c>
      <c r="J226" s="1">
        <f>WEEKNUM(InputData[[#This Row],[DATE]])</f>
        <v>14</v>
      </c>
    </row>
    <row r="227" spans="1:10" x14ac:dyDescent="0.25">
      <c r="A227" s="3">
        <v>44285</v>
      </c>
      <c r="B227" s="6" t="s">
        <v>73</v>
      </c>
      <c r="C227" s="4" t="s">
        <v>1</v>
      </c>
      <c r="D227" s="5">
        <v>103.88</v>
      </c>
      <c r="E227" s="1">
        <v>13</v>
      </c>
      <c r="F227" s="1">
        <f>InputData[[#This Row],[UNIT PRICE ($)]]*InputData[[#This Row],[QUANTITY]]</f>
        <v>1350.44</v>
      </c>
      <c r="G227" s="1" t="str">
        <f>VLOOKUP(InputData[[#This Row],[CUSTOMER NAME]],Country[#All],2,0)</f>
        <v>India</v>
      </c>
      <c r="H227" s="1" t="str">
        <f>VLOOKUP(InputData[[#This Row],[CUSTOMER NAME]],Country[#All],3,0)</f>
        <v>East</v>
      </c>
      <c r="I227" s="1" t="str">
        <f>TEXT(InputData[[#This Row],[DATE]],"MMM")</f>
        <v>Mar</v>
      </c>
      <c r="J227" s="1">
        <f>WEEKNUM(InputData[[#This Row],[DATE]])</f>
        <v>14</v>
      </c>
    </row>
    <row r="228" spans="1:10" x14ac:dyDescent="0.25">
      <c r="A228" s="3">
        <v>44286</v>
      </c>
      <c r="B228" s="6" t="s">
        <v>77</v>
      </c>
      <c r="C228" s="4" t="s">
        <v>42</v>
      </c>
      <c r="D228" s="5">
        <v>162</v>
      </c>
      <c r="E228" s="1">
        <v>3</v>
      </c>
      <c r="F228" s="1">
        <f>InputData[[#This Row],[UNIT PRICE ($)]]*InputData[[#This Row],[QUANTITY]]</f>
        <v>486</v>
      </c>
      <c r="G228" s="1" t="str">
        <f>VLOOKUP(InputData[[#This Row],[CUSTOMER NAME]],Country[#All],2,0)</f>
        <v>India</v>
      </c>
      <c r="H228" s="1" t="str">
        <f>VLOOKUP(InputData[[#This Row],[CUSTOMER NAME]],Country[#All],3,0)</f>
        <v>Western</v>
      </c>
      <c r="I228" s="1" t="str">
        <f>TEXT(InputData[[#This Row],[DATE]],"MMM")</f>
        <v>Mar</v>
      </c>
      <c r="J228" s="1">
        <f>WEEKNUM(InputData[[#This Row],[DATE]])</f>
        <v>14</v>
      </c>
    </row>
    <row r="229" spans="1:10" x14ac:dyDescent="0.25">
      <c r="A229" s="3">
        <v>44286</v>
      </c>
      <c r="B229" s="6" t="s">
        <v>89</v>
      </c>
      <c r="C229" s="4" t="s">
        <v>5</v>
      </c>
      <c r="D229" s="5">
        <v>155.61000000000001</v>
      </c>
      <c r="E229" s="1">
        <v>33</v>
      </c>
      <c r="F229" s="1">
        <f>InputData[[#This Row],[UNIT PRICE ($)]]*InputData[[#This Row],[QUANTITY]]</f>
        <v>5135.13</v>
      </c>
      <c r="G229" s="1" t="str">
        <f>VLOOKUP(InputData[[#This Row],[CUSTOMER NAME]],Country[#All],2,0)</f>
        <v>Mexico</v>
      </c>
      <c r="H229" s="1" t="str">
        <f>VLOOKUP(InputData[[#This Row],[CUSTOMER NAME]],Country[#All],3,0)</f>
        <v>Export</v>
      </c>
      <c r="I229" s="1" t="str">
        <f>TEXT(InputData[[#This Row],[DATE]],"MMM")</f>
        <v>Mar</v>
      </c>
      <c r="J229" s="1">
        <f>WEEKNUM(InputData[[#This Row],[DATE]])</f>
        <v>14</v>
      </c>
    </row>
    <row r="230" spans="1:10" x14ac:dyDescent="0.25">
      <c r="A230" s="3">
        <v>44287</v>
      </c>
      <c r="B230" s="6" t="s">
        <v>67</v>
      </c>
      <c r="C230" s="4" t="s">
        <v>11</v>
      </c>
      <c r="D230" s="5">
        <v>48.4</v>
      </c>
      <c r="E230" s="1">
        <v>3</v>
      </c>
      <c r="F230" s="1">
        <f>InputData[[#This Row],[UNIT PRICE ($)]]*InputData[[#This Row],[QUANTITY]]</f>
        <v>145.19999999999999</v>
      </c>
      <c r="G230" s="1" t="str">
        <f>VLOOKUP(InputData[[#This Row],[CUSTOMER NAME]],Country[#All],2,0)</f>
        <v>United Kingdom</v>
      </c>
      <c r="H230" s="1" t="str">
        <f>VLOOKUP(InputData[[#This Row],[CUSTOMER NAME]],Country[#All],3,0)</f>
        <v>Export</v>
      </c>
      <c r="I230" s="1" t="str">
        <f>TEXT(InputData[[#This Row],[DATE]],"MMM")</f>
        <v>Apr</v>
      </c>
      <c r="J230" s="1">
        <f>WEEKNUM(InputData[[#This Row],[DATE]])</f>
        <v>14</v>
      </c>
    </row>
    <row r="231" spans="1:10" x14ac:dyDescent="0.25">
      <c r="A231" s="3">
        <v>44287</v>
      </c>
      <c r="B231" s="6" t="s">
        <v>88</v>
      </c>
      <c r="C231" s="4" t="s">
        <v>2</v>
      </c>
      <c r="D231" s="5">
        <v>142.80000000000001</v>
      </c>
      <c r="E231" s="1">
        <v>2</v>
      </c>
      <c r="F231" s="1">
        <f>InputData[[#This Row],[UNIT PRICE ($)]]*InputData[[#This Row],[QUANTITY]]</f>
        <v>285.60000000000002</v>
      </c>
      <c r="G231" s="1" t="str">
        <f>VLOOKUP(InputData[[#This Row],[CUSTOMER NAME]],Country[#All],2,0)</f>
        <v>India</v>
      </c>
      <c r="H231" s="1" t="str">
        <f>VLOOKUP(InputData[[#This Row],[CUSTOMER NAME]],Country[#All],3,0)</f>
        <v>South</v>
      </c>
      <c r="I231" s="1" t="str">
        <f>TEXT(InputData[[#This Row],[DATE]],"MMM")</f>
        <v>Apr</v>
      </c>
      <c r="J231" s="1">
        <f>WEEKNUM(InputData[[#This Row],[DATE]])</f>
        <v>14</v>
      </c>
    </row>
    <row r="232" spans="1:10" x14ac:dyDescent="0.25">
      <c r="A232" s="3">
        <v>44288</v>
      </c>
      <c r="B232" s="6" t="s">
        <v>61</v>
      </c>
      <c r="C232" s="4" t="s">
        <v>37</v>
      </c>
      <c r="D232" s="5">
        <v>85.76</v>
      </c>
      <c r="E232" s="1">
        <v>24</v>
      </c>
      <c r="F232" s="1">
        <f>InputData[[#This Row],[UNIT PRICE ($)]]*InputData[[#This Row],[QUANTITY]]</f>
        <v>2058.2400000000002</v>
      </c>
      <c r="G232" s="1" t="str">
        <f>VLOOKUP(InputData[[#This Row],[CUSTOMER NAME]],Country[#All],2,0)</f>
        <v>Bangladesh</v>
      </c>
      <c r="H232" s="1" t="str">
        <f>VLOOKUP(InputData[[#This Row],[CUSTOMER NAME]],Country[#All],3,0)</f>
        <v>Export</v>
      </c>
      <c r="I232" s="1" t="str">
        <f>TEXT(InputData[[#This Row],[DATE]],"MMM")</f>
        <v>Apr</v>
      </c>
      <c r="J232" s="1">
        <f>WEEKNUM(InputData[[#This Row],[DATE]])</f>
        <v>14</v>
      </c>
    </row>
    <row r="233" spans="1:10" x14ac:dyDescent="0.25">
      <c r="A233" s="3">
        <v>44288</v>
      </c>
      <c r="B233" s="6" t="s">
        <v>71</v>
      </c>
      <c r="C233" s="4" t="s">
        <v>2</v>
      </c>
      <c r="D233" s="5">
        <v>142.80000000000001</v>
      </c>
      <c r="E233" s="1">
        <v>3</v>
      </c>
      <c r="F233" s="1">
        <f>InputData[[#This Row],[UNIT PRICE ($)]]*InputData[[#This Row],[QUANTITY]]</f>
        <v>428.40000000000003</v>
      </c>
      <c r="G233" s="1" t="str">
        <f>VLOOKUP(InputData[[#This Row],[CUSTOMER NAME]],Country[#All],2,0)</f>
        <v>India</v>
      </c>
      <c r="H233" s="1" t="str">
        <f>VLOOKUP(InputData[[#This Row],[CUSTOMER NAME]],Country[#All],3,0)</f>
        <v>Central</v>
      </c>
      <c r="I233" s="1" t="str">
        <f>TEXT(InputData[[#This Row],[DATE]],"MMM")</f>
        <v>Apr</v>
      </c>
      <c r="J233" s="1">
        <f>WEEKNUM(InputData[[#This Row],[DATE]])</f>
        <v>14</v>
      </c>
    </row>
    <row r="234" spans="1:10" x14ac:dyDescent="0.25">
      <c r="A234" s="3">
        <v>44290</v>
      </c>
      <c r="B234" s="6" t="s">
        <v>61</v>
      </c>
      <c r="C234" s="4" t="s">
        <v>9</v>
      </c>
      <c r="D234" s="5">
        <v>7.8599999999999994</v>
      </c>
      <c r="E234" s="1">
        <v>9</v>
      </c>
      <c r="F234" s="1">
        <f>InputData[[#This Row],[UNIT PRICE ($)]]*InputData[[#This Row],[QUANTITY]]</f>
        <v>70.739999999999995</v>
      </c>
      <c r="G234" s="1" t="str">
        <f>VLOOKUP(InputData[[#This Row],[CUSTOMER NAME]],Country[#All],2,0)</f>
        <v>Bangladesh</v>
      </c>
      <c r="H234" s="1" t="str">
        <f>VLOOKUP(InputData[[#This Row],[CUSTOMER NAME]],Country[#All],3,0)</f>
        <v>Export</v>
      </c>
      <c r="I234" s="1" t="str">
        <f>TEXT(InputData[[#This Row],[DATE]],"MMM")</f>
        <v>Apr</v>
      </c>
      <c r="J234" s="1">
        <f>WEEKNUM(InputData[[#This Row],[DATE]])</f>
        <v>15</v>
      </c>
    </row>
    <row r="235" spans="1:10" x14ac:dyDescent="0.25">
      <c r="A235" s="3">
        <v>44290</v>
      </c>
      <c r="B235" s="6" t="s">
        <v>63</v>
      </c>
      <c r="C235" s="4" t="s">
        <v>34</v>
      </c>
      <c r="D235" s="5">
        <v>58.3</v>
      </c>
      <c r="E235" s="1">
        <v>20</v>
      </c>
      <c r="F235" s="1">
        <f>InputData[[#This Row],[UNIT PRICE ($)]]*InputData[[#This Row],[QUANTITY]]</f>
        <v>1166</v>
      </c>
      <c r="G235" s="1" t="str">
        <f>VLOOKUP(InputData[[#This Row],[CUSTOMER NAME]],Country[#All],2,0)</f>
        <v>Saudi Arabia</v>
      </c>
      <c r="H235" s="1" t="str">
        <f>VLOOKUP(InputData[[#This Row],[CUSTOMER NAME]],Country[#All],3,0)</f>
        <v>Export</v>
      </c>
      <c r="I235" s="1" t="str">
        <f>TEXT(InputData[[#This Row],[DATE]],"MMM")</f>
        <v>Apr</v>
      </c>
      <c r="J235" s="1">
        <f>WEEKNUM(InputData[[#This Row],[DATE]])</f>
        <v>15</v>
      </c>
    </row>
    <row r="236" spans="1:10" x14ac:dyDescent="0.25">
      <c r="A236" s="3">
        <v>44290</v>
      </c>
      <c r="B236" s="6" t="s">
        <v>113</v>
      </c>
      <c r="C236" s="4" t="s">
        <v>40</v>
      </c>
      <c r="D236" s="5">
        <v>115.2</v>
      </c>
      <c r="E236" s="1">
        <v>4</v>
      </c>
      <c r="F236" s="1">
        <f>InputData[[#This Row],[UNIT PRICE ($)]]*InputData[[#This Row],[QUANTITY]]</f>
        <v>460.8</v>
      </c>
      <c r="G236" s="1" t="str">
        <f>VLOOKUP(InputData[[#This Row],[CUSTOMER NAME]],Country[#All],2,0)</f>
        <v>Pakistan</v>
      </c>
      <c r="H236" s="1" t="str">
        <f>VLOOKUP(InputData[[#This Row],[CUSTOMER NAME]],Country[#All],3,0)</f>
        <v>Export</v>
      </c>
      <c r="I236" s="1" t="str">
        <f>TEXT(InputData[[#This Row],[DATE]],"MMM")</f>
        <v>Apr</v>
      </c>
      <c r="J236" s="1">
        <f>WEEKNUM(InputData[[#This Row],[DATE]])</f>
        <v>15</v>
      </c>
    </row>
    <row r="237" spans="1:10" x14ac:dyDescent="0.25">
      <c r="A237" s="3">
        <v>44291</v>
      </c>
      <c r="B237" s="6" t="s">
        <v>110</v>
      </c>
      <c r="C237" s="4" t="s">
        <v>1</v>
      </c>
      <c r="D237" s="5">
        <v>103.88</v>
      </c>
      <c r="E237" s="1">
        <v>34</v>
      </c>
      <c r="F237" s="1">
        <f>InputData[[#This Row],[UNIT PRICE ($)]]*InputData[[#This Row],[QUANTITY]]</f>
        <v>3531.92</v>
      </c>
      <c r="G237" s="1" t="str">
        <f>VLOOKUP(InputData[[#This Row],[CUSTOMER NAME]],Country[#All],2,0)</f>
        <v>India</v>
      </c>
      <c r="H237" s="1" t="str">
        <f>VLOOKUP(InputData[[#This Row],[CUSTOMER NAME]],Country[#All],3,0)</f>
        <v>Western</v>
      </c>
      <c r="I237" s="1" t="str">
        <f>TEXT(InputData[[#This Row],[DATE]],"MMM")</f>
        <v>Apr</v>
      </c>
      <c r="J237" s="1">
        <f>WEEKNUM(InputData[[#This Row],[DATE]])</f>
        <v>15</v>
      </c>
    </row>
    <row r="238" spans="1:10" x14ac:dyDescent="0.25">
      <c r="A238" s="3">
        <v>44291</v>
      </c>
      <c r="B238" s="6" t="s">
        <v>80</v>
      </c>
      <c r="C238" s="4" t="s">
        <v>31</v>
      </c>
      <c r="D238" s="5">
        <v>104.16</v>
      </c>
      <c r="E238" s="1">
        <v>15</v>
      </c>
      <c r="F238" s="1">
        <f>InputData[[#This Row],[UNIT PRICE ($)]]*InputData[[#This Row],[QUANTITY]]</f>
        <v>1562.3999999999999</v>
      </c>
      <c r="G238" s="1" t="str">
        <f>VLOOKUP(InputData[[#This Row],[CUSTOMER NAME]],Country[#All],2,0)</f>
        <v>South Africa</v>
      </c>
      <c r="H238" s="1" t="str">
        <f>VLOOKUP(InputData[[#This Row],[CUSTOMER NAME]],Country[#All],3,0)</f>
        <v>Export</v>
      </c>
      <c r="I238" s="1" t="str">
        <f>TEXT(InputData[[#This Row],[DATE]],"MMM")</f>
        <v>Apr</v>
      </c>
      <c r="J238" s="1">
        <f>WEEKNUM(InputData[[#This Row],[DATE]])</f>
        <v>15</v>
      </c>
    </row>
    <row r="239" spans="1:10" x14ac:dyDescent="0.25">
      <c r="A239" s="3">
        <v>44291</v>
      </c>
      <c r="B239" s="6" t="s">
        <v>113</v>
      </c>
      <c r="C239" s="4" t="s">
        <v>8</v>
      </c>
      <c r="D239" s="5">
        <v>94.62</v>
      </c>
      <c r="E239" s="1">
        <v>29</v>
      </c>
      <c r="F239" s="1">
        <f>InputData[[#This Row],[UNIT PRICE ($)]]*InputData[[#This Row],[QUANTITY]]</f>
        <v>2743.98</v>
      </c>
      <c r="G239" s="1" t="str">
        <f>VLOOKUP(InputData[[#This Row],[CUSTOMER NAME]],Country[#All],2,0)</f>
        <v>Pakistan</v>
      </c>
      <c r="H239" s="1" t="str">
        <f>VLOOKUP(InputData[[#This Row],[CUSTOMER NAME]],Country[#All],3,0)</f>
        <v>Export</v>
      </c>
      <c r="I239" s="1" t="str">
        <f>TEXT(InputData[[#This Row],[DATE]],"MMM")</f>
        <v>Apr</v>
      </c>
      <c r="J239" s="1">
        <f>WEEKNUM(InputData[[#This Row],[DATE]])</f>
        <v>15</v>
      </c>
    </row>
    <row r="240" spans="1:10" x14ac:dyDescent="0.25">
      <c r="A240" s="3">
        <v>44292</v>
      </c>
      <c r="B240" s="6" t="s">
        <v>110</v>
      </c>
      <c r="C240" s="4" t="s">
        <v>21</v>
      </c>
      <c r="D240" s="5">
        <v>162.54</v>
      </c>
      <c r="E240" s="1">
        <v>39</v>
      </c>
      <c r="F240" s="1">
        <f>InputData[[#This Row],[UNIT PRICE ($)]]*InputData[[#This Row],[QUANTITY]]</f>
        <v>6339.0599999999995</v>
      </c>
      <c r="G240" s="1" t="str">
        <f>VLOOKUP(InputData[[#This Row],[CUSTOMER NAME]],Country[#All],2,0)</f>
        <v>India</v>
      </c>
      <c r="H240" s="1" t="str">
        <f>VLOOKUP(InputData[[#This Row],[CUSTOMER NAME]],Country[#All],3,0)</f>
        <v>Western</v>
      </c>
      <c r="I240" s="1" t="str">
        <f>TEXT(InputData[[#This Row],[DATE]],"MMM")</f>
        <v>Apr</v>
      </c>
      <c r="J240" s="1">
        <f>WEEKNUM(InputData[[#This Row],[DATE]])</f>
        <v>15</v>
      </c>
    </row>
    <row r="241" spans="1:10" x14ac:dyDescent="0.25">
      <c r="A241" s="3">
        <v>44292</v>
      </c>
      <c r="B241" s="6" t="s">
        <v>76</v>
      </c>
      <c r="C241" s="4" t="s">
        <v>40</v>
      </c>
      <c r="D241" s="5">
        <v>115.2</v>
      </c>
      <c r="E241" s="1">
        <v>2</v>
      </c>
      <c r="F241" s="1">
        <f>InputData[[#This Row],[UNIT PRICE ($)]]*InputData[[#This Row],[QUANTITY]]</f>
        <v>230.4</v>
      </c>
      <c r="G241" s="1" t="str">
        <f>VLOOKUP(InputData[[#This Row],[CUSTOMER NAME]],Country[#All],2,0)</f>
        <v>Saudi Arabia</v>
      </c>
      <c r="H241" s="1" t="str">
        <f>VLOOKUP(InputData[[#This Row],[CUSTOMER NAME]],Country[#All],3,0)</f>
        <v>Export</v>
      </c>
      <c r="I241" s="1" t="str">
        <f>TEXT(InputData[[#This Row],[DATE]],"MMM")</f>
        <v>Apr</v>
      </c>
      <c r="J241" s="1">
        <f>WEEKNUM(InputData[[#This Row],[DATE]])</f>
        <v>15</v>
      </c>
    </row>
    <row r="242" spans="1:10" x14ac:dyDescent="0.25">
      <c r="A242" s="3">
        <v>44293</v>
      </c>
      <c r="B242" s="6" t="s">
        <v>73</v>
      </c>
      <c r="C242" s="4" t="s">
        <v>26</v>
      </c>
      <c r="D242" s="5">
        <v>24.66</v>
      </c>
      <c r="E242" s="1">
        <v>7</v>
      </c>
      <c r="F242" s="1">
        <f>InputData[[#This Row],[UNIT PRICE ($)]]*InputData[[#This Row],[QUANTITY]]</f>
        <v>172.62</v>
      </c>
      <c r="G242" s="1" t="str">
        <f>VLOOKUP(InputData[[#This Row],[CUSTOMER NAME]],Country[#All],2,0)</f>
        <v>India</v>
      </c>
      <c r="H242" s="1" t="str">
        <f>VLOOKUP(InputData[[#This Row],[CUSTOMER NAME]],Country[#All],3,0)</f>
        <v>East</v>
      </c>
      <c r="I242" s="1" t="str">
        <f>TEXT(InputData[[#This Row],[DATE]],"MMM")</f>
        <v>Apr</v>
      </c>
      <c r="J242" s="1">
        <f>WEEKNUM(InputData[[#This Row],[DATE]])</f>
        <v>15</v>
      </c>
    </row>
    <row r="243" spans="1:10" x14ac:dyDescent="0.25">
      <c r="A243" s="3">
        <v>44295</v>
      </c>
      <c r="B243" s="6" t="s">
        <v>67</v>
      </c>
      <c r="C243" s="4" t="s">
        <v>2</v>
      </c>
      <c r="D243" s="5">
        <v>142.80000000000001</v>
      </c>
      <c r="E243" s="1">
        <v>9</v>
      </c>
      <c r="F243" s="1">
        <f>InputData[[#This Row],[UNIT PRICE ($)]]*InputData[[#This Row],[QUANTITY]]</f>
        <v>1285.2</v>
      </c>
      <c r="G243" s="1" t="str">
        <f>VLOOKUP(InputData[[#This Row],[CUSTOMER NAME]],Country[#All],2,0)</f>
        <v>United Kingdom</v>
      </c>
      <c r="H243" s="1" t="str">
        <f>VLOOKUP(InputData[[#This Row],[CUSTOMER NAME]],Country[#All],3,0)</f>
        <v>Export</v>
      </c>
      <c r="I243" s="1" t="str">
        <f>TEXT(InputData[[#This Row],[DATE]],"MMM")</f>
        <v>Apr</v>
      </c>
      <c r="J243" s="1">
        <f>WEEKNUM(InputData[[#This Row],[DATE]])</f>
        <v>15</v>
      </c>
    </row>
    <row r="244" spans="1:10" x14ac:dyDescent="0.25">
      <c r="A244" s="3">
        <v>44295</v>
      </c>
      <c r="B244" s="6" t="s">
        <v>76</v>
      </c>
      <c r="C244" s="4" t="s">
        <v>5</v>
      </c>
      <c r="D244" s="5">
        <v>155.61000000000001</v>
      </c>
      <c r="E244" s="1">
        <v>3</v>
      </c>
      <c r="F244" s="1">
        <f>InputData[[#This Row],[UNIT PRICE ($)]]*InputData[[#This Row],[QUANTITY]]</f>
        <v>466.83000000000004</v>
      </c>
      <c r="G244" s="1" t="str">
        <f>VLOOKUP(InputData[[#This Row],[CUSTOMER NAME]],Country[#All],2,0)</f>
        <v>Saudi Arabia</v>
      </c>
      <c r="H244" s="1" t="str">
        <f>VLOOKUP(InputData[[#This Row],[CUSTOMER NAME]],Country[#All],3,0)</f>
        <v>Export</v>
      </c>
      <c r="I244" s="1" t="str">
        <f>TEXT(InputData[[#This Row],[DATE]],"MMM")</f>
        <v>Apr</v>
      </c>
      <c r="J244" s="1">
        <f>WEEKNUM(InputData[[#This Row],[DATE]])</f>
        <v>15</v>
      </c>
    </row>
    <row r="245" spans="1:10" x14ac:dyDescent="0.25">
      <c r="A245" s="3">
        <v>44295</v>
      </c>
      <c r="B245" s="6" t="s">
        <v>76</v>
      </c>
      <c r="C245" s="4" t="s">
        <v>39</v>
      </c>
      <c r="D245" s="5">
        <v>42.55</v>
      </c>
      <c r="E245" s="1">
        <v>12</v>
      </c>
      <c r="F245" s="1">
        <f>InputData[[#This Row],[UNIT PRICE ($)]]*InputData[[#This Row],[QUANTITY]]</f>
        <v>510.59999999999997</v>
      </c>
      <c r="G245" s="1" t="str">
        <f>VLOOKUP(InputData[[#This Row],[CUSTOMER NAME]],Country[#All],2,0)</f>
        <v>Saudi Arabia</v>
      </c>
      <c r="H245" s="1" t="str">
        <f>VLOOKUP(InputData[[#This Row],[CUSTOMER NAME]],Country[#All],3,0)</f>
        <v>Export</v>
      </c>
      <c r="I245" s="1" t="str">
        <f>TEXT(InputData[[#This Row],[DATE]],"MMM")</f>
        <v>Apr</v>
      </c>
      <c r="J245" s="1">
        <f>WEEKNUM(InputData[[#This Row],[DATE]])</f>
        <v>15</v>
      </c>
    </row>
    <row r="246" spans="1:10" x14ac:dyDescent="0.25">
      <c r="A246" s="3">
        <v>44295</v>
      </c>
      <c r="B246" s="6" t="s">
        <v>82</v>
      </c>
      <c r="C246" s="4" t="s">
        <v>17</v>
      </c>
      <c r="D246" s="5">
        <v>156.78</v>
      </c>
      <c r="E246" s="1">
        <v>8</v>
      </c>
      <c r="F246" s="1">
        <f>InputData[[#This Row],[UNIT PRICE ($)]]*InputData[[#This Row],[QUANTITY]]</f>
        <v>1254.24</v>
      </c>
      <c r="G246" s="1" t="str">
        <f>VLOOKUP(InputData[[#This Row],[CUSTOMER NAME]],Country[#All],2,0)</f>
        <v>India</v>
      </c>
      <c r="H246" s="1" t="str">
        <f>VLOOKUP(InputData[[#This Row],[CUSTOMER NAME]],Country[#All],3,0)</f>
        <v>Western</v>
      </c>
      <c r="I246" s="1" t="str">
        <f>TEXT(InputData[[#This Row],[DATE]],"MMM")</f>
        <v>Apr</v>
      </c>
      <c r="J246" s="1">
        <f>WEEKNUM(InputData[[#This Row],[DATE]])</f>
        <v>15</v>
      </c>
    </row>
    <row r="247" spans="1:10" x14ac:dyDescent="0.25">
      <c r="A247" s="3">
        <v>44296</v>
      </c>
      <c r="B247" s="6" t="s">
        <v>110</v>
      </c>
      <c r="C247" s="4" t="s">
        <v>22</v>
      </c>
      <c r="D247" s="5">
        <v>141.57</v>
      </c>
      <c r="E247" s="1">
        <v>14</v>
      </c>
      <c r="F247" s="1">
        <f>InputData[[#This Row],[UNIT PRICE ($)]]*InputData[[#This Row],[QUANTITY]]</f>
        <v>1981.98</v>
      </c>
      <c r="G247" s="1" t="str">
        <f>VLOOKUP(InputData[[#This Row],[CUSTOMER NAME]],Country[#All],2,0)</f>
        <v>India</v>
      </c>
      <c r="H247" s="1" t="str">
        <f>VLOOKUP(InputData[[#This Row],[CUSTOMER NAME]],Country[#All],3,0)</f>
        <v>Western</v>
      </c>
      <c r="I247" s="1" t="str">
        <f>TEXT(InputData[[#This Row],[DATE]],"MMM")</f>
        <v>Apr</v>
      </c>
      <c r="J247" s="1">
        <f>WEEKNUM(InputData[[#This Row],[DATE]])</f>
        <v>15</v>
      </c>
    </row>
    <row r="248" spans="1:10" x14ac:dyDescent="0.25">
      <c r="A248" s="3">
        <v>44296</v>
      </c>
      <c r="B248" s="6" t="s">
        <v>71</v>
      </c>
      <c r="C248" s="4" t="s">
        <v>41</v>
      </c>
      <c r="D248" s="5">
        <v>173.88</v>
      </c>
      <c r="E248" s="1">
        <v>17</v>
      </c>
      <c r="F248" s="1">
        <f>InputData[[#This Row],[UNIT PRICE ($)]]*InputData[[#This Row],[QUANTITY]]</f>
        <v>2955.96</v>
      </c>
      <c r="G248" s="1" t="str">
        <f>VLOOKUP(InputData[[#This Row],[CUSTOMER NAME]],Country[#All],2,0)</f>
        <v>India</v>
      </c>
      <c r="H248" s="1" t="str">
        <f>VLOOKUP(InputData[[#This Row],[CUSTOMER NAME]],Country[#All],3,0)</f>
        <v>Central</v>
      </c>
      <c r="I248" s="1" t="str">
        <f>TEXT(InputData[[#This Row],[DATE]],"MMM")</f>
        <v>Apr</v>
      </c>
      <c r="J248" s="1">
        <f>WEEKNUM(InputData[[#This Row],[DATE]])</f>
        <v>15</v>
      </c>
    </row>
    <row r="249" spans="1:10" x14ac:dyDescent="0.25">
      <c r="A249" s="3">
        <v>44296</v>
      </c>
      <c r="B249" s="6" t="s">
        <v>79</v>
      </c>
      <c r="C249" s="4" t="s">
        <v>37</v>
      </c>
      <c r="D249" s="5">
        <v>85.76</v>
      </c>
      <c r="E249" s="1">
        <v>36</v>
      </c>
      <c r="F249" s="1">
        <f>InputData[[#This Row],[UNIT PRICE ($)]]*InputData[[#This Row],[QUANTITY]]</f>
        <v>3087.36</v>
      </c>
      <c r="G249" s="1" t="str">
        <f>VLOOKUP(InputData[[#This Row],[CUSTOMER NAME]],Country[#All],2,0)</f>
        <v>United Kingdom</v>
      </c>
      <c r="H249" s="1" t="str">
        <f>VLOOKUP(InputData[[#This Row],[CUSTOMER NAME]],Country[#All],3,0)</f>
        <v>Export</v>
      </c>
      <c r="I249" s="1" t="str">
        <f>TEXT(InputData[[#This Row],[DATE]],"MMM")</f>
        <v>Apr</v>
      </c>
      <c r="J249" s="1">
        <f>WEEKNUM(InputData[[#This Row],[DATE]])</f>
        <v>15</v>
      </c>
    </row>
    <row r="250" spans="1:10" x14ac:dyDescent="0.25">
      <c r="A250" s="3">
        <v>44297</v>
      </c>
      <c r="B250" s="6" t="s">
        <v>87</v>
      </c>
      <c r="C250" s="4" t="s">
        <v>9</v>
      </c>
      <c r="D250" s="5">
        <v>7.8599999999999994</v>
      </c>
      <c r="E250" s="1">
        <v>8</v>
      </c>
      <c r="F250" s="1">
        <f>InputData[[#This Row],[UNIT PRICE ($)]]*InputData[[#This Row],[QUANTITY]]</f>
        <v>62.879999999999995</v>
      </c>
      <c r="G250" s="1" t="str">
        <f>VLOOKUP(InputData[[#This Row],[CUSTOMER NAME]],Country[#All],2,0)</f>
        <v>France</v>
      </c>
      <c r="H250" s="1" t="str">
        <f>VLOOKUP(InputData[[#This Row],[CUSTOMER NAME]],Country[#All],3,0)</f>
        <v>Export</v>
      </c>
      <c r="I250" s="1" t="str">
        <f>TEXT(InputData[[#This Row],[DATE]],"MMM")</f>
        <v>Apr</v>
      </c>
      <c r="J250" s="1">
        <f>WEEKNUM(InputData[[#This Row],[DATE]])</f>
        <v>16</v>
      </c>
    </row>
    <row r="251" spans="1:10" x14ac:dyDescent="0.25">
      <c r="A251" s="3">
        <v>44298</v>
      </c>
      <c r="B251" s="6" t="s">
        <v>63</v>
      </c>
      <c r="C251" s="4" t="s">
        <v>27</v>
      </c>
      <c r="D251" s="5">
        <v>57.120000000000005</v>
      </c>
      <c r="E251" s="1">
        <v>9</v>
      </c>
      <c r="F251" s="1">
        <f>InputData[[#This Row],[UNIT PRICE ($)]]*InputData[[#This Row],[QUANTITY]]</f>
        <v>514.08000000000004</v>
      </c>
      <c r="G251" s="1" t="str">
        <f>VLOOKUP(InputData[[#This Row],[CUSTOMER NAME]],Country[#All],2,0)</f>
        <v>Saudi Arabia</v>
      </c>
      <c r="H251" s="1" t="str">
        <f>VLOOKUP(InputData[[#This Row],[CUSTOMER NAME]],Country[#All],3,0)</f>
        <v>Export</v>
      </c>
      <c r="I251" s="1" t="str">
        <f>TEXT(InputData[[#This Row],[DATE]],"MMM")</f>
        <v>Apr</v>
      </c>
      <c r="J251" s="1">
        <f>WEEKNUM(InputData[[#This Row],[DATE]])</f>
        <v>16</v>
      </c>
    </row>
    <row r="252" spans="1:10" x14ac:dyDescent="0.25">
      <c r="A252" s="3">
        <v>44298</v>
      </c>
      <c r="B252" s="6" t="s">
        <v>64</v>
      </c>
      <c r="C252" s="4" t="s">
        <v>15</v>
      </c>
      <c r="D252" s="5">
        <v>15.719999999999999</v>
      </c>
      <c r="E252" s="1">
        <v>14</v>
      </c>
      <c r="F252" s="1">
        <f>InputData[[#This Row],[UNIT PRICE ($)]]*InputData[[#This Row],[QUANTITY]]</f>
        <v>220.07999999999998</v>
      </c>
      <c r="G252" s="1" t="str">
        <f>VLOOKUP(InputData[[#This Row],[CUSTOMER NAME]],Country[#All],2,0)</f>
        <v>India</v>
      </c>
      <c r="H252" s="1" t="str">
        <f>VLOOKUP(InputData[[#This Row],[CUSTOMER NAME]],Country[#All],3,0)</f>
        <v>Northeast</v>
      </c>
      <c r="I252" s="1" t="str">
        <f>TEXT(InputData[[#This Row],[DATE]],"MMM")</f>
        <v>Apr</v>
      </c>
      <c r="J252" s="1">
        <f>WEEKNUM(InputData[[#This Row],[DATE]])</f>
        <v>16</v>
      </c>
    </row>
    <row r="253" spans="1:10" x14ac:dyDescent="0.25">
      <c r="A253" s="3">
        <v>44298</v>
      </c>
      <c r="B253" s="6" t="s">
        <v>67</v>
      </c>
      <c r="C253" s="4" t="s">
        <v>37</v>
      </c>
      <c r="D253" s="5">
        <v>85.76</v>
      </c>
      <c r="E253" s="1">
        <v>3</v>
      </c>
      <c r="F253" s="1">
        <f>InputData[[#This Row],[UNIT PRICE ($)]]*InputData[[#This Row],[QUANTITY]]</f>
        <v>257.28000000000003</v>
      </c>
      <c r="G253" s="1" t="str">
        <f>VLOOKUP(InputData[[#This Row],[CUSTOMER NAME]],Country[#All],2,0)</f>
        <v>United Kingdom</v>
      </c>
      <c r="H253" s="1" t="str">
        <f>VLOOKUP(InputData[[#This Row],[CUSTOMER NAME]],Country[#All],3,0)</f>
        <v>Export</v>
      </c>
      <c r="I253" s="1" t="str">
        <f>TEXT(InputData[[#This Row],[DATE]],"MMM")</f>
        <v>Apr</v>
      </c>
      <c r="J253" s="1">
        <f>WEEKNUM(InputData[[#This Row],[DATE]])</f>
        <v>16</v>
      </c>
    </row>
    <row r="254" spans="1:10" x14ac:dyDescent="0.25">
      <c r="A254" s="3">
        <v>44298</v>
      </c>
      <c r="B254" s="6" t="s">
        <v>73</v>
      </c>
      <c r="C254" s="4" t="s">
        <v>33</v>
      </c>
      <c r="D254" s="5">
        <v>119.7</v>
      </c>
      <c r="E254" s="1">
        <v>13</v>
      </c>
      <c r="F254" s="1">
        <f>InputData[[#This Row],[UNIT PRICE ($)]]*InputData[[#This Row],[QUANTITY]]</f>
        <v>1556.1000000000001</v>
      </c>
      <c r="G254" s="1" t="str">
        <f>VLOOKUP(InputData[[#This Row],[CUSTOMER NAME]],Country[#All],2,0)</f>
        <v>India</v>
      </c>
      <c r="H254" s="1" t="str">
        <f>VLOOKUP(InputData[[#This Row],[CUSTOMER NAME]],Country[#All],3,0)</f>
        <v>East</v>
      </c>
      <c r="I254" s="1" t="str">
        <f>TEXT(InputData[[#This Row],[DATE]],"MMM")</f>
        <v>Apr</v>
      </c>
      <c r="J254" s="1">
        <f>WEEKNUM(InputData[[#This Row],[DATE]])</f>
        <v>16</v>
      </c>
    </row>
    <row r="255" spans="1:10" x14ac:dyDescent="0.25">
      <c r="A255" s="3">
        <v>44298</v>
      </c>
      <c r="B255" s="6" t="s">
        <v>81</v>
      </c>
      <c r="C255" s="4" t="s">
        <v>29</v>
      </c>
      <c r="D255" s="5">
        <v>53.11</v>
      </c>
      <c r="E255" s="1">
        <v>4</v>
      </c>
      <c r="F255" s="1">
        <f>InputData[[#This Row],[UNIT PRICE ($)]]*InputData[[#This Row],[QUANTITY]]</f>
        <v>212.44</v>
      </c>
      <c r="G255" s="1" t="str">
        <f>VLOOKUP(InputData[[#This Row],[CUSTOMER NAME]],Country[#All],2,0)</f>
        <v>India</v>
      </c>
      <c r="H255" s="1" t="str">
        <f>VLOOKUP(InputData[[#This Row],[CUSTOMER NAME]],Country[#All],3,0)</f>
        <v>East</v>
      </c>
      <c r="I255" s="1" t="str">
        <f>TEXT(InputData[[#This Row],[DATE]],"MMM")</f>
        <v>Apr</v>
      </c>
      <c r="J255" s="1">
        <f>WEEKNUM(InputData[[#This Row],[DATE]])</f>
        <v>16</v>
      </c>
    </row>
    <row r="256" spans="1:10" x14ac:dyDescent="0.25">
      <c r="A256" s="3">
        <v>44299</v>
      </c>
      <c r="B256" s="6" t="s">
        <v>62</v>
      </c>
      <c r="C256" s="4" t="s">
        <v>4</v>
      </c>
      <c r="D256" s="5">
        <v>48.84</v>
      </c>
      <c r="E256" s="1">
        <v>8</v>
      </c>
      <c r="F256" s="1">
        <f>InputData[[#This Row],[UNIT PRICE ($)]]*InputData[[#This Row],[QUANTITY]]</f>
        <v>390.72</v>
      </c>
      <c r="G256" s="1" t="str">
        <f>VLOOKUP(InputData[[#This Row],[CUSTOMER NAME]],Country[#All],2,0)</f>
        <v>India</v>
      </c>
      <c r="H256" s="1" t="str">
        <f>VLOOKUP(InputData[[#This Row],[CUSTOMER NAME]],Country[#All],3,0)</f>
        <v>Northeast</v>
      </c>
      <c r="I256" s="1" t="str">
        <f>TEXT(InputData[[#This Row],[DATE]],"MMM")</f>
        <v>Apr</v>
      </c>
      <c r="J256" s="1">
        <f>WEEKNUM(InputData[[#This Row],[DATE]])</f>
        <v>16</v>
      </c>
    </row>
    <row r="257" spans="1:10" x14ac:dyDescent="0.25">
      <c r="A257" s="3">
        <v>44299</v>
      </c>
      <c r="B257" s="6" t="s">
        <v>65</v>
      </c>
      <c r="C257" s="4" t="s">
        <v>16</v>
      </c>
      <c r="D257" s="5">
        <v>16.64</v>
      </c>
      <c r="E257" s="1">
        <v>14</v>
      </c>
      <c r="F257" s="1">
        <f>InputData[[#This Row],[UNIT PRICE ($)]]*InputData[[#This Row],[QUANTITY]]</f>
        <v>232.96</v>
      </c>
      <c r="G257" s="1" t="str">
        <f>VLOOKUP(InputData[[#This Row],[CUSTOMER NAME]],Country[#All],2,0)</f>
        <v>Pakistan</v>
      </c>
      <c r="H257" s="1" t="str">
        <f>VLOOKUP(InputData[[#This Row],[CUSTOMER NAME]],Country[#All],3,0)</f>
        <v>Export</v>
      </c>
      <c r="I257" s="1" t="str">
        <f>TEXT(InputData[[#This Row],[DATE]],"MMM")</f>
        <v>Apr</v>
      </c>
      <c r="J257" s="1">
        <f>WEEKNUM(InputData[[#This Row],[DATE]])</f>
        <v>16</v>
      </c>
    </row>
    <row r="258" spans="1:10" x14ac:dyDescent="0.25">
      <c r="A258" s="3">
        <v>44299</v>
      </c>
      <c r="B258" s="6" t="s">
        <v>70</v>
      </c>
      <c r="C258" s="4" t="s">
        <v>36</v>
      </c>
      <c r="D258" s="5">
        <v>96.3</v>
      </c>
      <c r="E258" s="1">
        <v>35</v>
      </c>
      <c r="F258" s="1">
        <f>InputData[[#This Row],[UNIT PRICE ($)]]*InputData[[#This Row],[QUANTITY]]</f>
        <v>3370.5</v>
      </c>
      <c r="G258" s="1" t="str">
        <f>VLOOKUP(InputData[[#This Row],[CUSTOMER NAME]],Country[#All],2,0)</f>
        <v>Mexico</v>
      </c>
      <c r="H258" s="1" t="str">
        <f>VLOOKUP(InputData[[#This Row],[CUSTOMER NAME]],Country[#All],3,0)</f>
        <v>Export</v>
      </c>
      <c r="I258" s="1" t="str">
        <f>TEXT(InputData[[#This Row],[DATE]],"MMM")</f>
        <v>Apr</v>
      </c>
      <c r="J258" s="1">
        <f>WEEKNUM(InputData[[#This Row],[DATE]])</f>
        <v>16</v>
      </c>
    </row>
    <row r="259" spans="1:10" x14ac:dyDescent="0.25">
      <c r="A259" s="3">
        <v>44300</v>
      </c>
      <c r="B259" s="6" t="s">
        <v>80</v>
      </c>
      <c r="C259" s="4" t="s">
        <v>37</v>
      </c>
      <c r="D259" s="5">
        <v>85.76</v>
      </c>
      <c r="E259" s="1">
        <v>7</v>
      </c>
      <c r="F259" s="1">
        <f>InputData[[#This Row],[UNIT PRICE ($)]]*InputData[[#This Row],[QUANTITY]]</f>
        <v>600.32000000000005</v>
      </c>
      <c r="G259" s="1" t="str">
        <f>VLOOKUP(InputData[[#This Row],[CUSTOMER NAME]],Country[#All],2,0)</f>
        <v>South Africa</v>
      </c>
      <c r="H259" s="1" t="str">
        <f>VLOOKUP(InputData[[#This Row],[CUSTOMER NAME]],Country[#All],3,0)</f>
        <v>Export</v>
      </c>
      <c r="I259" s="1" t="str">
        <f>TEXT(InputData[[#This Row],[DATE]],"MMM")</f>
        <v>Apr</v>
      </c>
      <c r="J259" s="1">
        <f>WEEKNUM(InputData[[#This Row],[DATE]])</f>
        <v>16</v>
      </c>
    </row>
    <row r="260" spans="1:10" x14ac:dyDescent="0.25">
      <c r="A260" s="3">
        <v>44301</v>
      </c>
      <c r="B260" s="6" t="s">
        <v>86</v>
      </c>
      <c r="C260" s="4" t="s">
        <v>17</v>
      </c>
      <c r="D260" s="5">
        <v>156.78</v>
      </c>
      <c r="E260" s="1">
        <v>3</v>
      </c>
      <c r="F260" s="1">
        <f>InputData[[#This Row],[UNIT PRICE ($)]]*InputData[[#This Row],[QUANTITY]]</f>
        <v>470.34000000000003</v>
      </c>
      <c r="G260" s="1" t="str">
        <f>VLOOKUP(InputData[[#This Row],[CUSTOMER NAME]],Country[#All],2,0)</f>
        <v>India</v>
      </c>
      <c r="H260" s="1" t="str">
        <f>VLOOKUP(InputData[[#This Row],[CUSTOMER NAME]],Country[#All],3,0)</f>
        <v>South</v>
      </c>
      <c r="I260" s="1" t="str">
        <f>TEXT(InputData[[#This Row],[DATE]],"MMM")</f>
        <v>Apr</v>
      </c>
      <c r="J260" s="1">
        <f>WEEKNUM(InputData[[#This Row],[DATE]])</f>
        <v>16</v>
      </c>
    </row>
    <row r="261" spans="1:10" x14ac:dyDescent="0.25">
      <c r="A261" s="3">
        <v>44302</v>
      </c>
      <c r="B261" s="6" t="s">
        <v>112</v>
      </c>
      <c r="C261" s="4" t="s">
        <v>16</v>
      </c>
      <c r="D261" s="5">
        <v>16.64</v>
      </c>
      <c r="E261" s="1">
        <v>38</v>
      </c>
      <c r="F261" s="1">
        <f>InputData[[#This Row],[UNIT PRICE ($)]]*InputData[[#This Row],[QUANTITY]]</f>
        <v>632.32000000000005</v>
      </c>
      <c r="G261" s="1" t="str">
        <f>VLOOKUP(InputData[[#This Row],[CUSTOMER NAME]],Country[#All],2,0)</f>
        <v>India</v>
      </c>
      <c r="H261" s="1" t="str">
        <f>VLOOKUP(InputData[[#This Row],[CUSTOMER NAME]],Country[#All],3,0)</f>
        <v>North</v>
      </c>
      <c r="I261" s="1" t="str">
        <f>TEXT(InputData[[#This Row],[DATE]],"MMM")</f>
        <v>Apr</v>
      </c>
      <c r="J261" s="1">
        <f>WEEKNUM(InputData[[#This Row],[DATE]])</f>
        <v>16</v>
      </c>
    </row>
    <row r="262" spans="1:10" x14ac:dyDescent="0.25">
      <c r="A262" s="3">
        <v>44302</v>
      </c>
      <c r="B262" s="6" t="s">
        <v>89</v>
      </c>
      <c r="C262" s="4" t="s">
        <v>18</v>
      </c>
      <c r="D262" s="5">
        <v>49.21</v>
      </c>
      <c r="E262" s="1">
        <v>15</v>
      </c>
      <c r="F262" s="1">
        <f>InputData[[#This Row],[UNIT PRICE ($)]]*InputData[[#This Row],[QUANTITY]]</f>
        <v>738.15</v>
      </c>
      <c r="G262" s="1" t="str">
        <f>VLOOKUP(InputData[[#This Row],[CUSTOMER NAME]],Country[#All],2,0)</f>
        <v>Mexico</v>
      </c>
      <c r="H262" s="1" t="str">
        <f>VLOOKUP(InputData[[#This Row],[CUSTOMER NAME]],Country[#All],3,0)</f>
        <v>Export</v>
      </c>
      <c r="I262" s="1" t="str">
        <f>TEXT(InputData[[#This Row],[DATE]],"MMM")</f>
        <v>Apr</v>
      </c>
      <c r="J262" s="1">
        <f>WEEKNUM(InputData[[#This Row],[DATE]])</f>
        <v>16</v>
      </c>
    </row>
    <row r="263" spans="1:10" x14ac:dyDescent="0.25">
      <c r="A263" s="3">
        <v>44303</v>
      </c>
      <c r="B263" s="6" t="s">
        <v>75</v>
      </c>
      <c r="C263" s="4" t="s">
        <v>9</v>
      </c>
      <c r="D263" s="5">
        <v>7.8599999999999994</v>
      </c>
      <c r="E263" s="1">
        <v>19</v>
      </c>
      <c r="F263" s="1">
        <f>InputData[[#This Row],[UNIT PRICE ($)]]*InputData[[#This Row],[QUANTITY]]</f>
        <v>149.33999999999997</v>
      </c>
      <c r="G263" s="1" t="str">
        <f>VLOOKUP(InputData[[#This Row],[CUSTOMER NAME]],Country[#All],2,0)</f>
        <v>Russia</v>
      </c>
      <c r="H263" s="1" t="str">
        <f>VLOOKUP(InputData[[#This Row],[CUSTOMER NAME]],Country[#All],3,0)</f>
        <v>Export</v>
      </c>
      <c r="I263" s="1" t="str">
        <f>TEXT(InputData[[#This Row],[DATE]],"MMM")</f>
        <v>Apr</v>
      </c>
      <c r="J263" s="1">
        <f>WEEKNUM(InputData[[#This Row],[DATE]])</f>
        <v>16</v>
      </c>
    </row>
    <row r="264" spans="1:10" x14ac:dyDescent="0.25">
      <c r="A264" s="3">
        <v>44304</v>
      </c>
      <c r="B264" s="6" t="s">
        <v>110</v>
      </c>
      <c r="C264" s="4" t="s">
        <v>41</v>
      </c>
      <c r="D264" s="5">
        <v>173.88</v>
      </c>
      <c r="E264" s="1">
        <v>9</v>
      </c>
      <c r="F264" s="1">
        <f>InputData[[#This Row],[UNIT PRICE ($)]]*InputData[[#This Row],[QUANTITY]]</f>
        <v>1564.92</v>
      </c>
      <c r="G264" s="1" t="str">
        <f>VLOOKUP(InputData[[#This Row],[CUSTOMER NAME]],Country[#All],2,0)</f>
        <v>India</v>
      </c>
      <c r="H264" s="1" t="str">
        <f>VLOOKUP(InputData[[#This Row],[CUSTOMER NAME]],Country[#All],3,0)</f>
        <v>Western</v>
      </c>
      <c r="I264" s="1" t="str">
        <f>TEXT(InputData[[#This Row],[DATE]],"MMM")</f>
        <v>Apr</v>
      </c>
      <c r="J264" s="1">
        <f>WEEKNUM(InputData[[#This Row],[DATE]])</f>
        <v>17</v>
      </c>
    </row>
    <row r="265" spans="1:10" x14ac:dyDescent="0.25">
      <c r="A265" s="3">
        <v>44304</v>
      </c>
      <c r="B265" s="6" t="s">
        <v>74</v>
      </c>
      <c r="C265" s="4" t="s">
        <v>19</v>
      </c>
      <c r="D265" s="5">
        <v>210</v>
      </c>
      <c r="E265" s="1">
        <v>13</v>
      </c>
      <c r="F265" s="1">
        <f>InputData[[#This Row],[UNIT PRICE ($)]]*InputData[[#This Row],[QUANTITY]]</f>
        <v>2730</v>
      </c>
      <c r="G265" s="1" t="str">
        <f>VLOOKUP(InputData[[#This Row],[CUSTOMER NAME]],Country[#All],2,0)</f>
        <v>Brazil</v>
      </c>
      <c r="H265" s="1" t="str">
        <f>VLOOKUP(InputData[[#This Row],[CUSTOMER NAME]],Country[#All],3,0)</f>
        <v>Export</v>
      </c>
      <c r="I265" s="1" t="str">
        <f>TEXT(InputData[[#This Row],[DATE]],"MMM")</f>
        <v>Apr</v>
      </c>
      <c r="J265" s="1">
        <f>WEEKNUM(InputData[[#This Row],[DATE]])</f>
        <v>17</v>
      </c>
    </row>
    <row r="266" spans="1:10" x14ac:dyDescent="0.25">
      <c r="A266" s="3">
        <v>44304</v>
      </c>
      <c r="B266" s="6" t="s">
        <v>87</v>
      </c>
      <c r="C266" s="4" t="s">
        <v>11</v>
      </c>
      <c r="D266" s="5">
        <v>48.4</v>
      </c>
      <c r="E266" s="1">
        <v>2</v>
      </c>
      <c r="F266" s="1">
        <f>InputData[[#This Row],[UNIT PRICE ($)]]*InputData[[#This Row],[QUANTITY]]</f>
        <v>96.8</v>
      </c>
      <c r="G266" s="1" t="str">
        <f>VLOOKUP(InputData[[#This Row],[CUSTOMER NAME]],Country[#All],2,0)</f>
        <v>France</v>
      </c>
      <c r="H266" s="1" t="str">
        <f>VLOOKUP(InputData[[#This Row],[CUSTOMER NAME]],Country[#All],3,0)</f>
        <v>Export</v>
      </c>
      <c r="I266" s="1" t="str">
        <f>TEXT(InputData[[#This Row],[DATE]],"MMM")</f>
        <v>Apr</v>
      </c>
      <c r="J266" s="1">
        <f>WEEKNUM(InputData[[#This Row],[DATE]])</f>
        <v>17</v>
      </c>
    </row>
    <row r="267" spans="1:10" x14ac:dyDescent="0.25">
      <c r="A267" s="3">
        <v>44304</v>
      </c>
      <c r="B267" s="6" t="s">
        <v>88</v>
      </c>
      <c r="C267" s="4" t="s">
        <v>38</v>
      </c>
      <c r="D267" s="5">
        <v>79.92</v>
      </c>
      <c r="E267" s="1">
        <v>9</v>
      </c>
      <c r="F267" s="1">
        <f>InputData[[#This Row],[UNIT PRICE ($)]]*InputData[[#This Row],[QUANTITY]]</f>
        <v>719.28</v>
      </c>
      <c r="G267" s="1" t="str">
        <f>VLOOKUP(InputData[[#This Row],[CUSTOMER NAME]],Country[#All],2,0)</f>
        <v>India</v>
      </c>
      <c r="H267" s="1" t="str">
        <f>VLOOKUP(InputData[[#This Row],[CUSTOMER NAME]],Country[#All],3,0)</f>
        <v>South</v>
      </c>
      <c r="I267" s="1" t="str">
        <f>TEXT(InputData[[#This Row],[DATE]],"MMM")</f>
        <v>Apr</v>
      </c>
      <c r="J267" s="1">
        <f>WEEKNUM(InputData[[#This Row],[DATE]])</f>
        <v>17</v>
      </c>
    </row>
    <row r="268" spans="1:10" x14ac:dyDescent="0.25">
      <c r="A268" s="3">
        <v>44305</v>
      </c>
      <c r="B268" s="6" t="s">
        <v>87</v>
      </c>
      <c r="C268" s="4" t="s">
        <v>11</v>
      </c>
      <c r="D268" s="5">
        <v>48.4</v>
      </c>
      <c r="E268" s="1">
        <v>17</v>
      </c>
      <c r="F268" s="1">
        <f>InputData[[#This Row],[UNIT PRICE ($)]]*InputData[[#This Row],[QUANTITY]]</f>
        <v>822.8</v>
      </c>
      <c r="G268" s="1" t="str">
        <f>VLOOKUP(InputData[[#This Row],[CUSTOMER NAME]],Country[#All],2,0)</f>
        <v>France</v>
      </c>
      <c r="H268" s="1" t="str">
        <f>VLOOKUP(InputData[[#This Row],[CUSTOMER NAME]],Country[#All],3,0)</f>
        <v>Export</v>
      </c>
      <c r="I268" s="1" t="str">
        <f>TEXT(InputData[[#This Row],[DATE]],"MMM")</f>
        <v>Apr</v>
      </c>
      <c r="J268" s="1">
        <f>WEEKNUM(InputData[[#This Row],[DATE]])</f>
        <v>17</v>
      </c>
    </row>
    <row r="269" spans="1:10" x14ac:dyDescent="0.25">
      <c r="A269" s="3">
        <v>44306</v>
      </c>
      <c r="B269" s="6" t="s">
        <v>110</v>
      </c>
      <c r="C269" s="4" t="s">
        <v>18</v>
      </c>
      <c r="D269" s="5">
        <v>49.21</v>
      </c>
      <c r="E269" s="1">
        <v>2</v>
      </c>
      <c r="F269" s="1">
        <f>InputData[[#This Row],[UNIT PRICE ($)]]*InputData[[#This Row],[QUANTITY]]</f>
        <v>98.42</v>
      </c>
      <c r="G269" s="1" t="str">
        <f>VLOOKUP(InputData[[#This Row],[CUSTOMER NAME]],Country[#All],2,0)</f>
        <v>India</v>
      </c>
      <c r="H269" s="1" t="str">
        <f>VLOOKUP(InputData[[#This Row],[CUSTOMER NAME]],Country[#All],3,0)</f>
        <v>Western</v>
      </c>
      <c r="I269" s="1" t="str">
        <f>TEXT(InputData[[#This Row],[DATE]],"MMM")</f>
        <v>Apr</v>
      </c>
      <c r="J269" s="1">
        <f>WEEKNUM(InputData[[#This Row],[DATE]])</f>
        <v>17</v>
      </c>
    </row>
    <row r="270" spans="1:10" x14ac:dyDescent="0.25">
      <c r="A270" s="3">
        <v>44306</v>
      </c>
      <c r="B270" s="6" t="s">
        <v>77</v>
      </c>
      <c r="C270" s="4" t="s">
        <v>12</v>
      </c>
      <c r="D270" s="5">
        <v>94.17</v>
      </c>
      <c r="E270" s="1">
        <v>4</v>
      </c>
      <c r="F270" s="1">
        <f>InputData[[#This Row],[UNIT PRICE ($)]]*InputData[[#This Row],[QUANTITY]]</f>
        <v>376.68</v>
      </c>
      <c r="G270" s="1" t="str">
        <f>VLOOKUP(InputData[[#This Row],[CUSTOMER NAME]],Country[#All],2,0)</f>
        <v>India</v>
      </c>
      <c r="H270" s="1" t="str">
        <f>VLOOKUP(InputData[[#This Row],[CUSTOMER NAME]],Country[#All],3,0)</f>
        <v>Western</v>
      </c>
      <c r="I270" s="1" t="str">
        <f>TEXT(InputData[[#This Row],[DATE]],"MMM")</f>
        <v>Apr</v>
      </c>
      <c r="J270" s="1">
        <f>WEEKNUM(InputData[[#This Row],[DATE]])</f>
        <v>17</v>
      </c>
    </row>
    <row r="271" spans="1:10" x14ac:dyDescent="0.25">
      <c r="A271" s="3">
        <v>44307</v>
      </c>
      <c r="B271" s="6" t="s">
        <v>82</v>
      </c>
      <c r="C271" s="4" t="s">
        <v>30</v>
      </c>
      <c r="D271" s="5">
        <v>201.28</v>
      </c>
      <c r="E271" s="1">
        <v>2</v>
      </c>
      <c r="F271" s="1">
        <f>InputData[[#This Row],[UNIT PRICE ($)]]*InputData[[#This Row],[QUANTITY]]</f>
        <v>402.56</v>
      </c>
      <c r="G271" s="1" t="str">
        <f>VLOOKUP(InputData[[#This Row],[CUSTOMER NAME]],Country[#All],2,0)</f>
        <v>India</v>
      </c>
      <c r="H271" s="1" t="str">
        <f>VLOOKUP(InputData[[#This Row],[CUSTOMER NAME]],Country[#All],3,0)</f>
        <v>Western</v>
      </c>
      <c r="I271" s="1" t="str">
        <f>TEXT(InputData[[#This Row],[DATE]],"MMM")</f>
        <v>Apr</v>
      </c>
      <c r="J271" s="1">
        <f>WEEKNUM(InputData[[#This Row],[DATE]])</f>
        <v>17</v>
      </c>
    </row>
    <row r="272" spans="1:10" x14ac:dyDescent="0.25">
      <c r="A272" s="3">
        <v>44307</v>
      </c>
      <c r="B272" s="6" t="s">
        <v>83</v>
      </c>
      <c r="C272" s="4" t="s">
        <v>26</v>
      </c>
      <c r="D272" s="5">
        <v>24.66</v>
      </c>
      <c r="E272" s="1">
        <v>14</v>
      </c>
      <c r="F272" s="1">
        <f>InputData[[#This Row],[UNIT PRICE ($)]]*InputData[[#This Row],[QUANTITY]]</f>
        <v>345.24</v>
      </c>
      <c r="G272" s="1" t="str">
        <f>VLOOKUP(InputData[[#This Row],[CUSTOMER NAME]],Country[#All],2,0)</f>
        <v>India</v>
      </c>
      <c r="H272" s="1" t="str">
        <f>VLOOKUP(InputData[[#This Row],[CUSTOMER NAME]],Country[#All],3,0)</f>
        <v>North</v>
      </c>
      <c r="I272" s="1" t="str">
        <f>TEXT(InputData[[#This Row],[DATE]],"MMM")</f>
        <v>Apr</v>
      </c>
      <c r="J272" s="1">
        <f>WEEKNUM(InputData[[#This Row],[DATE]])</f>
        <v>17</v>
      </c>
    </row>
    <row r="273" spans="1:10" x14ac:dyDescent="0.25">
      <c r="A273" s="3">
        <v>44308</v>
      </c>
      <c r="B273" s="6" t="s">
        <v>64</v>
      </c>
      <c r="C273" s="4" t="s">
        <v>43</v>
      </c>
      <c r="D273" s="5">
        <v>83.08</v>
      </c>
      <c r="E273" s="1">
        <v>22</v>
      </c>
      <c r="F273" s="1">
        <f>InputData[[#This Row],[UNIT PRICE ($)]]*InputData[[#This Row],[QUANTITY]]</f>
        <v>1827.76</v>
      </c>
      <c r="G273" s="1" t="str">
        <f>VLOOKUP(InputData[[#This Row],[CUSTOMER NAME]],Country[#All],2,0)</f>
        <v>India</v>
      </c>
      <c r="H273" s="1" t="str">
        <f>VLOOKUP(InputData[[#This Row],[CUSTOMER NAME]],Country[#All],3,0)</f>
        <v>Northeast</v>
      </c>
      <c r="I273" s="1" t="str">
        <f>TEXT(InputData[[#This Row],[DATE]],"MMM")</f>
        <v>Apr</v>
      </c>
      <c r="J273" s="1">
        <f>WEEKNUM(InputData[[#This Row],[DATE]])</f>
        <v>17</v>
      </c>
    </row>
    <row r="274" spans="1:10" x14ac:dyDescent="0.25">
      <c r="A274" s="3">
        <v>44308</v>
      </c>
      <c r="B274" s="6" t="s">
        <v>80</v>
      </c>
      <c r="C274" s="4" t="s">
        <v>36</v>
      </c>
      <c r="D274" s="5">
        <v>96.3</v>
      </c>
      <c r="E274" s="1">
        <v>36</v>
      </c>
      <c r="F274" s="1">
        <f>InputData[[#This Row],[UNIT PRICE ($)]]*InputData[[#This Row],[QUANTITY]]</f>
        <v>3466.7999999999997</v>
      </c>
      <c r="G274" s="1" t="str">
        <f>VLOOKUP(InputData[[#This Row],[CUSTOMER NAME]],Country[#All],2,0)</f>
        <v>South Africa</v>
      </c>
      <c r="H274" s="1" t="str">
        <f>VLOOKUP(InputData[[#This Row],[CUSTOMER NAME]],Country[#All],3,0)</f>
        <v>Export</v>
      </c>
      <c r="I274" s="1" t="str">
        <f>TEXT(InputData[[#This Row],[DATE]],"MMM")</f>
        <v>Apr</v>
      </c>
      <c r="J274" s="1">
        <f>WEEKNUM(InputData[[#This Row],[DATE]])</f>
        <v>17</v>
      </c>
    </row>
    <row r="275" spans="1:10" x14ac:dyDescent="0.25">
      <c r="A275" s="3">
        <v>44309</v>
      </c>
      <c r="B275" s="6" t="s">
        <v>62</v>
      </c>
      <c r="C275" s="4" t="s">
        <v>28</v>
      </c>
      <c r="D275" s="5">
        <v>41.81</v>
      </c>
      <c r="E275" s="1">
        <v>10</v>
      </c>
      <c r="F275" s="1">
        <f>InputData[[#This Row],[UNIT PRICE ($)]]*InputData[[#This Row],[QUANTITY]]</f>
        <v>418.1</v>
      </c>
      <c r="G275" s="1" t="str">
        <f>VLOOKUP(InputData[[#This Row],[CUSTOMER NAME]],Country[#All],2,0)</f>
        <v>India</v>
      </c>
      <c r="H275" s="1" t="str">
        <f>VLOOKUP(InputData[[#This Row],[CUSTOMER NAME]],Country[#All],3,0)</f>
        <v>Northeast</v>
      </c>
      <c r="I275" s="1" t="str">
        <f>TEXT(InputData[[#This Row],[DATE]],"MMM")</f>
        <v>Apr</v>
      </c>
      <c r="J275" s="1">
        <f>WEEKNUM(InputData[[#This Row],[DATE]])</f>
        <v>17</v>
      </c>
    </row>
    <row r="276" spans="1:10" x14ac:dyDescent="0.25">
      <c r="A276" s="3">
        <v>44309</v>
      </c>
      <c r="B276" s="6" t="s">
        <v>80</v>
      </c>
      <c r="C276" s="4" t="s">
        <v>44</v>
      </c>
      <c r="D276" s="5">
        <v>82.08</v>
      </c>
      <c r="E276" s="1">
        <v>15</v>
      </c>
      <c r="F276" s="1">
        <f>InputData[[#This Row],[UNIT PRICE ($)]]*InputData[[#This Row],[QUANTITY]]</f>
        <v>1231.2</v>
      </c>
      <c r="G276" s="1" t="str">
        <f>VLOOKUP(InputData[[#This Row],[CUSTOMER NAME]],Country[#All],2,0)</f>
        <v>South Africa</v>
      </c>
      <c r="H276" s="1" t="str">
        <f>VLOOKUP(InputData[[#This Row],[CUSTOMER NAME]],Country[#All],3,0)</f>
        <v>Export</v>
      </c>
      <c r="I276" s="1" t="str">
        <f>TEXT(InputData[[#This Row],[DATE]],"MMM")</f>
        <v>Apr</v>
      </c>
      <c r="J276" s="1">
        <f>WEEKNUM(InputData[[#This Row],[DATE]])</f>
        <v>17</v>
      </c>
    </row>
    <row r="277" spans="1:10" x14ac:dyDescent="0.25">
      <c r="A277" s="3">
        <v>44309</v>
      </c>
      <c r="B277" s="6" t="s">
        <v>88</v>
      </c>
      <c r="C277" s="4" t="s">
        <v>42</v>
      </c>
      <c r="D277" s="5">
        <v>162</v>
      </c>
      <c r="E277" s="1">
        <v>6</v>
      </c>
      <c r="F277" s="1">
        <f>InputData[[#This Row],[UNIT PRICE ($)]]*InputData[[#This Row],[QUANTITY]]</f>
        <v>972</v>
      </c>
      <c r="G277" s="1" t="str">
        <f>VLOOKUP(InputData[[#This Row],[CUSTOMER NAME]],Country[#All],2,0)</f>
        <v>India</v>
      </c>
      <c r="H277" s="1" t="str">
        <f>VLOOKUP(InputData[[#This Row],[CUSTOMER NAME]],Country[#All],3,0)</f>
        <v>South</v>
      </c>
      <c r="I277" s="1" t="str">
        <f>TEXT(InputData[[#This Row],[DATE]],"MMM")</f>
        <v>Apr</v>
      </c>
      <c r="J277" s="1">
        <f>WEEKNUM(InputData[[#This Row],[DATE]])</f>
        <v>17</v>
      </c>
    </row>
    <row r="278" spans="1:10" x14ac:dyDescent="0.25">
      <c r="A278" s="3">
        <v>44310</v>
      </c>
      <c r="B278" s="6" t="s">
        <v>62</v>
      </c>
      <c r="C278" s="4" t="s">
        <v>34</v>
      </c>
      <c r="D278" s="5">
        <v>58.3</v>
      </c>
      <c r="E278" s="1">
        <v>4</v>
      </c>
      <c r="F278" s="1">
        <f>InputData[[#This Row],[UNIT PRICE ($)]]*InputData[[#This Row],[QUANTITY]]</f>
        <v>233.2</v>
      </c>
      <c r="G278" s="1" t="str">
        <f>VLOOKUP(InputData[[#This Row],[CUSTOMER NAME]],Country[#All],2,0)</f>
        <v>India</v>
      </c>
      <c r="H278" s="1" t="str">
        <f>VLOOKUP(InputData[[#This Row],[CUSTOMER NAME]],Country[#All],3,0)</f>
        <v>Northeast</v>
      </c>
      <c r="I278" s="1" t="str">
        <f>TEXT(InputData[[#This Row],[DATE]],"MMM")</f>
        <v>Apr</v>
      </c>
      <c r="J278" s="1">
        <f>WEEKNUM(InputData[[#This Row],[DATE]])</f>
        <v>17</v>
      </c>
    </row>
    <row r="279" spans="1:10" x14ac:dyDescent="0.25">
      <c r="A279" s="3">
        <v>44310</v>
      </c>
      <c r="B279" s="6" t="s">
        <v>70</v>
      </c>
      <c r="C279" s="4" t="s">
        <v>38</v>
      </c>
      <c r="D279" s="5">
        <v>79.92</v>
      </c>
      <c r="E279" s="1">
        <v>1</v>
      </c>
      <c r="F279" s="1">
        <f>InputData[[#This Row],[UNIT PRICE ($)]]*InputData[[#This Row],[QUANTITY]]</f>
        <v>79.92</v>
      </c>
      <c r="G279" s="1" t="str">
        <f>VLOOKUP(InputData[[#This Row],[CUSTOMER NAME]],Country[#All],2,0)</f>
        <v>Mexico</v>
      </c>
      <c r="H279" s="1" t="str">
        <f>VLOOKUP(InputData[[#This Row],[CUSTOMER NAME]],Country[#All],3,0)</f>
        <v>Export</v>
      </c>
      <c r="I279" s="1" t="str">
        <f>TEXT(InputData[[#This Row],[DATE]],"MMM")</f>
        <v>Apr</v>
      </c>
      <c r="J279" s="1">
        <f>WEEKNUM(InputData[[#This Row],[DATE]])</f>
        <v>17</v>
      </c>
    </row>
    <row r="280" spans="1:10" x14ac:dyDescent="0.25">
      <c r="A280" s="3">
        <v>44310</v>
      </c>
      <c r="B280" s="6" t="s">
        <v>87</v>
      </c>
      <c r="C280" s="4" t="s">
        <v>30</v>
      </c>
      <c r="D280" s="5">
        <v>201.28</v>
      </c>
      <c r="E280" s="1">
        <v>2</v>
      </c>
      <c r="F280" s="1">
        <f>InputData[[#This Row],[UNIT PRICE ($)]]*InputData[[#This Row],[QUANTITY]]</f>
        <v>402.56</v>
      </c>
      <c r="G280" s="1" t="str">
        <f>VLOOKUP(InputData[[#This Row],[CUSTOMER NAME]],Country[#All],2,0)</f>
        <v>France</v>
      </c>
      <c r="H280" s="1" t="str">
        <f>VLOOKUP(InputData[[#This Row],[CUSTOMER NAME]],Country[#All],3,0)</f>
        <v>Export</v>
      </c>
      <c r="I280" s="1" t="str">
        <f>TEXT(InputData[[#This Row],[DATE]],"MMM")</f>
        <v>Apr</v>
      </c>
      <c r="J280" s="1">
        <f>WEEKNUM(InputData[[#This Row],[DATE]])</f>
        <v>17</v>
      </c>
    </row>
    <row r="281" spans="1:10" x14ac:dyDescent="0.25">
      <c r="A281" s="3">
        <v>44310</v>
      </c>
      <c r="B281" s="6" t="s">
        <v>88</v>
      </c>
      <c r="C281" s="4" t="s">
        <v>21</v>
      </c>
      <c r="D281" s="5">
        <v>162.54</v>
      </c>
      <c r="E281" s="1">
        <v>39</v>
      </c>
      <c r="F281" s="1">
        <f>InputData[[#This Row],[UNIT PRICE ($)]]*InputData[[#This Row],[QUANTITY]]</f>
        <v>6339.0599999999995</v>
      </c>
      <c r="G281" s="1" t="str">
        <f>VLOOKUP(InputData[[#This Row],[CUSTOMER NAME]],Country[#All],2,0)</f>
        <v>India</v>
      </c>
      <c r="H281" s="1" t="str">
        <f>VLOOKUP(InputData[[#This Row],[CUSTOMER NAME]],Country[#All],3,0)</f>
        <v>South</v>
      </c>
      <c r="I281" s="1" t="str">
        <f>TEXT(InputData[[#This Row],[DATE]],"MMM")</f>
        <v>Apr</v>
      </c>
      <c r="J281" s="1">
        <f>WEEKNUM(InputData[[#This Row],[DATE]])</f>
        <v>17</v>
      </c>
    </row>
    <row r="282" spans="1:10" x14ac:dyDescent="0.25">
      <c r="A282" s="3">
        <v>44311</v>
      </c>
      <c r="B282" s="6" t="s">
        <v>62</v>
      </c>
      <c r="C282" s="4" t="s">
        <v>3</v>
      </c>
      <c r="D282" s="5">
        <v>80.94</v>
      </c>
      <c r="E282" s="1">
        <v>8</v>
      </c>
      <c r="F282" s="1">
        <f>InputData[[#This Row],[UNIT PRICE ($)]]*InputData[[#This Row],[QUANTITY]]</f>
        <v>647.52</v>
      </c>
      <c r="G282" s="1" t="str">
        <f>VLOOKUP(InputData[[#This Row],[CUSTOMER NAME]],Country[#All],2,0)</f>
        <v>India</v>
      </c>
      <c r="H282" s="1" t="str">
        <f>VLOOKUP(InputData[[#This Row],[CUSTOMER NAME]],Country[#All],3,0)</f>
        <v>Northeast</v>
      </c>
      <c r="I282" s="1" t="str">
        <f>TEXT(InputData[[#This Row],[DATE]],"MMM")</f>
        <v>Apr</v>
      </c>
      <c r="J282" s="1">
        <f>WEEKNUM(InputData[[#This Row],[DATE]])</f>
        <v>18</v>
      </c>
    </row>
    <row r="283" spans="1:10" x14ac:dyDescent="0.25">
      <c r="A283" s="3">
        <v>44311</v>
      </c>
      <c r="B283" s="6" t="s">
        <v>82</v>
      </c>
      <c r="C283" s="4" t="s">
        <v>4</v>
      </c>
      <c r="D283" s="5">
        <v>48.84</v>
      </c>
      <c r="E283" s="1">
        <v>9</v>
      </c>
      <c r="F283" s="1">
        <f>InputData[[#This Row],[UNIT PRICE ($)]]*InputData[[#This Row],[QUANTITY]]</f>
        <v>439.56000000000006</v>
      </c>
      <c r="G283" s="1" t="str">
        <f>VLOOKUP(InputData[[#This Row],[CUSTOMER NAME]],Country[#All],2,0)</f>
        <v>India</v>
      </c>
      <c r="H283" s="1" t="str">
        <f>VLOOKUP(InputData[[#This Row],[CUSTOMER NAME]],Country[#All],3,0)</f>
        <v>Western</v>
      </c>
      <c r="I283" s="1" t="str">
        <f>TEXT(InputData[[#This Row],[DATE]],"MMM")</f>
        <v>Apr</v>
      </c>
      <c r="J283" s="1">
        <f>WEEKNUM(InputData[[#This Row],[DATE]])</f>
        <v>18</v>
      </c>
    </row>
    <row r="284" spans="1:10" x14ac:dyDescent="0.25">
      <c r="A284" s="3">
        <v>44312</v>
      </c>
      <c r="B284" s="6" t="s">
        <v>73</v>
      </c>
      <c r="C284" s="4" t="s">
        <v>37</v>
      </c>
      <c r="D284" s="5">
        <v>85.76</v>
      </c>
      <c r="E284" s="1">
        <v>3</v>
      </c>
      <c r="F284" s="1">
        <f>InputData[[#This Row],[UNIT PRICE ($)]]*InputData[[#This Row],[QUANTITY]]</f>
        <v>257.28000000000003</v>
      </c>
      <c r="G284" s="1" t="str">
        <f>VLOOKUP(InputData[[#This Row],[CUSTOMER NAME]],Country[#All],2,0)</f>
        <v>India</v>
      </c>
      <c r="H284" s="1" t="str">
        <f>VLOOKUP(InputData[[#This Row],[CUSTOMER NAME]],Country[#All],3,0)</f>
        <v>East</v>
      </c>
      <c r="I284" s="1" t="str">
        <f>TEXT(InputData[[#This Row],[DATE]],"MMM")</f>
        <v>Apr</v>
      </c>
      <c r="J284" s="1">
        <f>WEEKNUM(InputData[[#This Row],[DATE]])</f>
        <v>18</v>
      </c>
    </row>
    <row r="285" spans="1:10" x14ac:dyDescent="0.25">
      <c r="A285" s="3">
        <v>44312</v>
      </c>
      <c r="B285" s="6" t="s">
        <v>85</v>
      </c>
      <c r="C285" s="4" t="s">
        <v>27</v>
      </c>
      <c r="D285" s="5">
        <v>57.120000000000005</v>
      </c>
      <c r="E285" s="1">
        <v>2</v>
      </c>
      <c r="F285" s="1">
        <f>InputData[[#This Row],[UNIT PRICE ($)]]*InputData[[#This Row],[QUANTITY]]</f>
        <v>114.24000000000001</v>
      </c>
      <c r="G285" s="1" t="str">
        <f>VLOOKUP(InputData[[#This Row],[CUSTOMER NAME]],Country[#All],2,0)</f>
        <v>India</v>
      </c>
      <c r="H285" s="1" t="str">
        <f>VLOOKUP(InputData[[#This Row],[CUSTOMER NAME]],Country[#All],3,0)</f>
        <v>Northeast</v>
      </c>
      <c r="I285" s="1" t="str">
        <f>TEXT(InputData[[#This Row],[DATE]],"MMM")</f>
        <v>Apr</v>
      </c>
      <c r="J285" s="1">
        <f>WEEKNUM(InputData[[#This Row],[DATE]])</f>
        <v>18</v>
      </c>
    </row>
    <row r="286" spans="1:10" x14ac:dyDescent="0.25">
      <c r="A286" s="3">
        <v>44314</v>
      </c>
      <c r="B286" s="6" t="s">
        <v>61</v>
      </c>
      <c r="C286" s="4" t="s">
        <v>14</v>
      </c>
      <c r="D286" s="5">
        <v>146.72</v>
      </c>
      <c r="E286" s="1">
        <v>14</v>
      </c>
      <c r="F286" s="1">
        <f>InputData[[#This Row],[UNIT PRICE ($)]]*InputData[[#This Row],[QUANTITY]]</f>
        <v>2054.08</v>
      </c>
      <c r="G286" s="1" t="str">
        <f>VLOOKUP(InputData[[#This Row],[CUSTOMER NAME]],Country[#All],2,0)</f>
        <v>Bangladesh</v>
      </c>
      <c r="H286" s="1" t="str">
        <f>VLOOKUP(InputData[[#This Row],[CUSTOMER NAME]],Country[#All],3,0)</f>
        <v>Export</v>
      </c>
      <c r="I286" s="1" t="str">
        <f>TEXT(InputData[[#This Row],[DATE]],"MMM")</f>
        <v>Apr</v>
      </c>
      <c r="J286" s="1">
        <f>WEEKNUM(InputData[[#This Row],[DATE]])</f>
        <v>18</v>
      </c>
    </row>
    <row r="287" spans="1:10" x14ac:dyDescent="0.25">
      <c r="A287" s="3">
        <v>44314</v>
      </c>
      <c r="B287" s="6" t="s">
        <v>89</v>
      </c>
      <c r="C287" s="4" t="s">
        <v>20</v>
      </c>
      <c r="D287" s="5">
        <v>76.25</v>
      </c>
      <c r="E287" s="1">
        <v>30</v>
      </c>
      <c r="F287" s="1">
        <f>InputData[[#This Row],[UNIT PRICE ($)]]*InputData[[#This Row],[QUANTITY]]</f>
        <v>2287.5</v>
      </c>
      <c r="G287" s="1" t="str">
        <f>VLOOKUP(InputData[[#This Row],[CUSTOMER NAME]],Country[#All],2,0)</f>
        <v>Mexico</v>
      </c>
      <c r="H287" s="1" t="str">
        <f>VLOOKUP(InputData[[#This Row],[CUSTOMER NAME]],Country[#All],3,0)</f>
        <v>Export</v>
      </c>
      <c r="I287" s="1" t="str">
        <f>TEXT(InputData[[#This Row],[DATE]],"MMM")</f>
        <v>Apr</v>
      </c>
      <c r="J287" s="1">
        <f>WEEKNUM(InputData[[#This Row],[DATE]])</f>
        <v>18</v>
      </c>
    </row>
    <row r="288" spans="1:10" x14ac:dyDescent="0.25">
      <c r="A288" s="3">
        <v>44315</v>
      </c>
      <c r="B288" s="6" t="s">
        <v>71</v>
      </c>
      <c r="C288" s="4" t="s">
        <v>21</v>
      </c>
      <c r="D288" s="5">
        <v>162.54</v>
      </c>
      <c r="E288" s="1">
        <v>13</v>
      </c>
      <c r="F288" s="1">
        <f>InputData[[#This Row],[UNIT PRICE ($)]]*InputData[[#This Row],[QUANTITY]]</f>
        <v>2113.02</v>
      </c>
      <c r="G288" s="1" t="str">
        <f>VLOOKUP(InputData[[#This Row],[CUSTOMER NAME]],Country[#All],2,0)</f>
        <v>India</v>
      </c>
      <c r="H288" s="1" t="str">
        <f>VLOOKUP(InputData[[#This Row],[CUSTOMER NAME]],Country[#All],3,0)</f>
        <v>Central</v>
      </c>
      <c r="I288" s="1" t="str">
        <f>TEXT(InputData[[#This Row],[DATE]],"MMM")</f>
        <v>Apr</v>
      </c>
      <c r="J288" s="1">
        <f>WEEKNUM(InputData[[#This Row],[DATE]])</f>
        <v>18</v>
      </c>
    </row>
    <row r="289" spans="1:10" x14ac:dyDescent="0.25">
      <c r="A289" s="3">
        <v>44315</v>
      </c>
      <c r="B289" s="6" t="s">
        <v>88</v>
      </c>
      <c r="C289" s="4" t="s">
        <v>30</v>
      </c>
      <c r="D289" s="5">
        <v>201.28</v>
      </c>
      <c r="E289" s="1">
        <v>7</v>
      </c>
      <c r="F289" s="1">
        <f>InputData[[#This Row],[UNIT PRICE ($)]]*InputData[[#This Row],[QUANTITY]]</f>
        <v>1408.96</v>
      </c>
      <c r="G289" s="1" t="str">
        <f>VLOOKUP(InputData[[#This Row],[CUSTOMER NAME]],Country[#All],2,0)</f>
        <v>India</v>
      </c>
      <c r="H289" s="1" t="str">
        <f>VLOOKUP(InputData[[#This Row],[CUSTOMER NAME]],Country[#All],3,0)</f>
        <v>South</v>
      </c>
      <c r="I289" s="1" t="str">
        <f>TEXT(InputData[[#This Row],[DATE]],"MMM")</f>
        <v>Apr</v>
      </c>
      <c r="J289" s="1">
        <f>WEEKNUM(InputData[[#This Row],[DATE]])</f>
        <v>18</v>
      </c>
    </row>
    <row r="290" spans="1:10" x14ac:dyDescent="0.25">
      <c r="A290" s="3">
        <v>44316</v>
      </c>
      <c r="B290" s="6" t="s">
        <v>112</v>
      </c>
      <c r="C290" s="4" t="s">
        <v>16</v>
      </c>
      <c r="D290" s="5">
        <v>16.64</v>
      </c>
      <c r="E290" s="1">
        <v>13</v>
      </c>
      <c r="F290" s="1">
        <f>InputData[[#This Row],[UNIT PRICE ($)]]*InputData[[#This Row],[QUANTITY]]</f>
        <v>216.32</v>
      </c>
      <c r="G290" s="1" t="str">
        <f>VLOOKUP(InputData[[#This Row],[CUSTOMER NAME]],Country[#All],2,0)</f>
        <v>India</v>
      </c>
      <c r="H290" s="1" t="str">
        <f>VLOOKUP(InputData[[#This Row],[CUSTOMER NAME]],Country[#All],3,0)</f>
        <v>North</v>
      </c>
      <c r="I290" s="1" t="str">
        <f>TEXT(InputData[[#This Row],[DATE]],"MMM")</f>
        <v>Apr</v>
      </c>
      <c r="J290" s="1">
        <f>WEEKNUM(InputData[[#This Row],[DATE]])</f>
        <v>18</v>
      </c>
    </row>
    <row r="291" spans="1:10" x14ac:dyDescent="0.25">
      <c r="A291" s="3">
        <v>44316</v>
      </c>
      <c r="B291" s="6" t="s">
        <v>74</v>
      </c>
      <c r="C291" s="4" t="s">
        <v>29</v>
      </c>
      <c r="D291" s="5">
        <v>53.11</v>
      </c>
      <c r="E291" s="1">
        <v>1</v>
      </c>
      <c r="F291" s="1">
        <f>InputData[[#This Row],[UNIT PRICE ($)]]*InputData[[#This Row],[QUANTITY]]</f>
        <v>53.11</v>
      </c>
      <c r="G291" s="1" t="str">
        <f>VLOOKUP(InputData[[#This Row],[CUSTOMER NAME]],Country[#All],2,0)</f>
        <v>Brazil</v>
      </c>
      <c r="H291" s="1" t="str">
        <f>VLOOKUP(InputData[[#This Row],[CUSTOMER NAME]],Country[#All],3,0)</f>
        <v>Export</v>
      </c>
      <c r="I291" s="1" t="str">
        <f>TEXT(InputData[[#This Row],[DATE]],"MMM")</f>
        <v>Apr</v>
      </c>
      <c r="J291" s="1">
        <f>WEEKNUM(InputData[[#This Row],[DATE]])</f>
        <v>18</v>
      </c>
    </row>
    <row r="292" spans="1:10" x14ac:dyDescent="0.25">
      <c r="A292" s="3">
        <v>44316</v>
      </c>
      <c r="B292" s="6" t="s">
        <v>80</v>
      </c>
      <c r="C292" s="4" t="s">
        <v>27</v>
      </c>
      <c r="D292" s="5">
        <v>57.120000000000005</v>
      </c>
      <c r="E292" s="1">
        <v>8</v>
      </c>
      <c r="F292" s="1">
        <f>InputData[[#This Row],[UNIT PRICE ($)]]*InputData[[#This Row],[QUANTITY]]</f>
        <v>456.96000000000004</v>
      </c>
      <c r="G292" s="1" t="str">
        <f>VLOOKUP(InputData[[#This Row],[CUSTOMER NAME]],Country[#All],2,0)</f>
        <v>South Africa</v>
      </c>
      <c r="H292" s="1" t="str">
        <f>VLOOKUP(InputData[[#This Row],[CUSTOMER NAME]],Country[#All],3,0)</f>
        <v>Export</v>
      </c>
      <c r="I292" s="1" t="str">
        <f>TEXT(InputData[[#This Row],[DATE]],"MMM")</f>
        <v>Apr</v>
      </c>
      <c r="J292" s="1">
        <f>WEEKNUM(InputData[[#This Row],[DATE]])</f>
        <v>18</v>
      </c>
    </row>
    <row r="293" spans="1:10" x14ac:dyDescent="0.25">
      <c r="A293" s="3">
        <v>44317</v>
      </c>
      <c r="B293" s="6" t="s">
        <v>68</v>
      </c>
      <c r="C293" s="4" t="s">
        <v>31</v>
      </c>
      <c r="D293" s="5">
        <v>104.16</v>
      </c>
      <c r="E293" s="1">
        <v>2</v>
      </c>
      <c r="F293" s="1">
        <f>InputData[[#This Row],[UNIT PRICE ($)]]*InputData[[#This Row],[QUANTITY]]</f>
        <v>208.32</v>
      </c>
      <c r="G293" s="1" t="str">
        <f>VLOOKUP(InputData[[#This Row],[CUSTOMER NAME]],Country[#All],2,0)</f>
        <v>Russia</v>
      </c>
      <c r="H293" s="1" t="str">
        <f>VLOOKUP(InputData[[#This Row],[CUSTOMER NAME]],Country[#All],3,0)</f>
        <v>Export</v>
      </c>
      <c r="I293" s="1" t="str">
        <f>TEXT(InputData[[#This Row],[DATE]],"MMM")</f>
        <v>May</v>
      </c>
      <c r="J293" s="1">
        <f>WEEKNUM(InputData[[#This Row],[DATE]])</f>
        <v>18</v>
      </c>
    </row>
    <row r="294" spans="1:10" x14ac:dyDescent="0.25">
      <c r="A294" s="3">
        <v>44317</v>
      </c>
      <c r="B294" s="6" t="s">
        <v>71</v>
      </c>
      <c r="C294" s="4" t="s">
        <v>34</v>
      </c>
      <c r="D294" s="5">
        <v>58.3</v>
      </c>
      <c r="E294" s="1">
        <v>9</v>
      </c>
      <c r="F294" s="1">
        <f>InputData[[#This Row],[UNIT PRICE ($)]]*InputData[[#This Row],[QUANTITY]]</f>
        <v>524.69999999999993</v>
      </c>
      <c r="G294" s="1" t="str">
        <f>VLOOKUP(InputData[[#This Row],[CUSTOMER NAME]],Country[#All],2,0)</f>
        <v>India</v>
      </c>
      <c r="H294" s="1" t="str">
        <f>VLOOKUP(InputData[[#This Row],[CUSTOMER NAME]],Country[#All],3,0)</f>
        <v>Central</v>
      </c>
      <c r="I294" s="1" t="str">
        <f>TEXT(InputData[[#This Row],[DATE]],"MMM")</f>
        <v>May</v>
      </c>
      <c r="J294" s="1">
        <f>WEEKNUM(InputData[[#This Row],[DATE]])</f>
        <v>18</v>
      </c>
    </row>
    <row r="295" spans="1:10" x14ac:dyDescent="0.25">
      <c r="A295" s="3">
        <v>44317</v>
      </c>
      <c r="B295" s="6" t="s">
        <v>112</v>
      </c>
      <c r="C295" s="4" t="s">
        <v>33</v>
      </c>
      <c r="D295" s="5">
        <v>119.7</v>
      </c>
      <c r="E295" s="1">
        <v>6</v>
      </c>
      <c r="F295" s="1">
        <f>InputData[[#This Row],[UNIT PRICE ($)]]*InputData[[#This Row],[QUANTITY]]</f>
        <v>718.2</v>
      </c>
      <c r="G295" s="1" t="str">
        <f>VLOOKUP(InputData[[#This Row],[CUSTOMER NAME]],Country[#All],2,0)</f>
        <v>India</v>
      </c>
      <c r="H295" s="1" t="str">
        <f>VLOOKUP(InputData[[#This Row],[CUSTOMER NAME]],Country[#All],3,0)</f>
        <v>North</v>
      </c>
      <c r="I295" s="1" t="str">
        <f>TEXT(InputData[[#This Row],[DATE]],"MMM")</f>
        <v>May</v>
      </c>
      <c r="J295" s="1">
        <f>WEEKNUM(InputData[[#This Row],[DATE]])</f>
        <v>18</v>
      </c>
    </row>
    <row r="296" spans="1:10" x14ac:dyDescent="0.25">
      <c r="A296" s="3">
        <v>44317</v>
      </c>
      <c r="B296" s="6" t="s">
        <v>81</v>
      </c>
      <c r="C296" s="4" t="s">
        <v>42</v>
      </c>
      <c r="D296" s="5">
        <v>162</v>
      </c>
      <c r="E296" s="1">
        <v>1</v>
      </c>
      <c r="F296" s="1">
        <f>InputData[[#This Row],[UNIT PRICE ($)]]*InputData[[#This Row],[QUANTITY]]</f>
        <v>162</v>
      </c>
      <c r="G296" s="1" t="str">
        <f>VLOOKUP(InputData[[#This Row],[CUSTOMER NAME]],Country[#All],2,0)</f>
        <v>India</v>
      </c>
      <c r="H296" s="1" t="str">
        <f>VLOOKUP(InputData[[#This Row],[CUSTOMER NAME]],Country[#All],3,0)</f>
        <v>East</v>
      </c>
      <c r="I296" s="1" t="str">
        <f>TEXT(InputData[[#This Row],[DATE]],"MMM")</f>
        <v>May</v>
      </c>
      <c r="J296" s="1">
        <f>WEEKNUM(InputData[[#This Row],[DATE]])</f>
        <v>18</v>
      </c>
    </row>
    <row r="297" spans="1:10" x14ac:dyDescent="0.25">
      <c r="A297" s="3">
        <v>44317</v>
      </c>
      <c r="B297" s="6" t="s">
        <v>83</v>
      </c>
      <c r="C297" s="4" t="s">
        <v>18</v>
      </c>
      <c r="D297" s="5">
        <v>49.21</v>
      </c>
      <c r="E297" s="1">
        <v>3</v>
      </c>
      <c r="F297" s="1">
        <f>InputData[[#This Row],[UNIT PRICE ($)]]*InputData[[#This Row],[QUANTITY]]</f>
        <v>147.63</v>
      </c>
      <c r="G297" s="1" t="str">
        <f>VLOOKUP(InputData[[#This Row],[CUSTOMER NAME]],Country[#All],2,0)</f>
        <v>India</v>
      </c>
      <c r="H297" s="1" t="str">
        <f>VLOOKUP(InputData[[#This Row],[CUSTOMER NAME]],Country[#All],3,0)</f>
        <v>North</v>
      </c>
      <c r="I297" s="1" t="str">
        <f>TEXT(InputData[[#This Row],[DATE]],"MMM")</f>
        <v>May</v>
      </c>
      <c r="J297" s="1">
        <f>WEEKNUM(InputData[[#This Row],[DATE]])</f>
        <v>18</v>
      </c>
    </row>
    <row r="298" spans="1:10" x14ac:dyDescent="0.25">
      <c r="A298" s="3">
        <v>44318</v>
      </c>
      <c r="B298" s="6" t="s">
        <v>73</v>
      </c>
      <c r="C298" s="4" t="s">
        <v>13</v>
      </c>
      <c r="D298" s="5">
        <v>122.08</v>
      </c>
      <c r="E298" s="1">
        <v>4</v>
      </c>
      <c r="F298" s="1">
        <f>InputData[[#This Row],[UNIT PRICE ($)]]*InputData[[#This Row],[QUANTITY]]</f>
        <v>488.32</v>
      </c>
      <c r="G298" s="1" t="str">
        <f>VLOOKUP(InputData[[#This Row],[CUSTOMER NAME]],Country[#All],2,0)</f>
        <v>India</v>
      </c>
      <c r="H298" s="1" t="str">
        <f>VLOOKUP(InputData[[#This Row],[CUSTOMER NAME]],Country[#All],3,0)</f>
        <v>East</v>
      </c>
      <c r="I298" s="1" t="str">
        <f>TEXT(InputData[[#This Row],[DATE]],"MMM")</f>
        <v>May</v>
      </c>
      <c r="J298" s="1">
        <f>WEEKNUM(InputData[[#This Row],[DATE]])</f>
        <v>19</v>
      </c>
    </row>
    <row r="299" spans="1:10" x14ac:dyDescent="0.25">
      <c r="A299" s="3">
        <v>44319</v>
      </c>
      <c r="B299" s="6" t="s">
        <v>60</v>
      </c>
      <c r="C299" s="4" t="s">
        <v>34</v>
      </c>
      <c r="D299" s="5">
        <v>58.3</v>
      </c>
      <c r="E299" s="1">
        <v>3</v>
      </c>
      <c r="F299" s="1">
        <f>InputData[[#This Row],[UNIT PRICE ($)]]*InputData[[#This Row],[QUANTITY]]</f>
        <v>174.89999999999998</v>
      </c>
      <c r="G299" s="1" t="str">
        <f>VLOOKUP(InputData[[#This Row],[CUSTOMER NAME]],Country[#All],2,0)</f>
        <v>Nigeria</v>
      </c>
      <c r="H299" s="1" t="str">
        <f>VLOOKUP(InputData[[#This Row],[CUSTOMER NAME]],Country[#All],3,0)</f>
        <v>Export</v>
      </c>
      <c r="I299" s="1" t="str">
        <f>TEXT(InputData[[#This Row],[DATE]],"MMM")</f>
        <v>May</v>
      </c>
      <c r="J299" s="1">
        <f>WEEKNUM(InputData[[#This Row],[DATE]])</f>
        <v>19</v>
      </c>
    </row>
    <row r="300" spans="1:10" x14ac:dyDescent="0.25">
      <c r="A300" s="3">
        <v>44319</v>
      </c>
      <c r="B300" s="6" t="s">
        <v>86</v>
      </c>
      <c r="C300" s="4" t="s">
        <v>13</v>
      </c>
      <c r="D300" s="5">
        <v>122.08</v>
      </c>
      <c r="E300" s="1">
        <v>13</v>
      </c>
      <c r="F300" s="1">
        <f>InputData[[#This Row],[UNIT PRICE ($)]]*InputData[[#This Row],[QUANTITY]]</f>
        <v>1587.04</v>
      </c>
      <c r="G300" s="1" t="str">
        <f>VLOOKUP(InputData[[#This Row],[CUSTOMER NAME]],Country[#All],2,0)</f>
        <v>India</v>
      </c>
      <c r="H300" s="1" t="str">
        <f>VLOOKUP(InputData[[#This Row],[CUSTOMER NAME]],Country[#All],3,0)</f>
        <v>South</v>
      </c>
      <c r="I300" s="1" t="str">
        <f>TEXT(InputData[[#This Row],[DATE]],"MMM")</f>
        <v>May</v>
      </c>
      <c r="J300" s="1">
        <f>WEEKNUM(InputData[[#This Row],[DATE]])</f>
        <v>19</v>
      </c>
    </row>
    <row r="301" spans="1:10" x14ac:dyDescent="0.25">
      <c r="A301" s="3">
        <v>44320</v>
      </c>
      <c r="B301" s="6" t="s">
        <v>71</v>
      </c>
      <c r="C301" s="4" t="s">
        <v>14</v>
      </c>
      <c r="D301" s="5">
        <v>146.72</v>
      </c>
      <c r="E301" s="1">
        <v>4</v>
      </c>
      <c r="F301" s="1">
        <f>InputData[[#This Row],[UNIT PRICE ($)]]*InputData[[#This Row],[QUANTITY]]</f>
        <v>586.88</v>
      </c>
      <c r="G301" s="1" t="str">
        <f>VLOOKUP(InputData[[#This Row],[CUSTOMER NAME]],Country[#All],2,0)</f>
        <v>India</v>
      </c>
      <c r="H301" s="1" t="str">
        <f>VLOOKUP(InputData[[#This Row],[CUSTOMER NAME]],Country[#All],3,0)</f>
        <v>Central</v>
      </c>
      <c r="I301" s="1" t="str">
        <f>TEXT(InputData[[#This Row],[DATE]],"MMM")</f>
        <v>May</v>
      </c>
      <c r="J301" s="1">
        <f>WEEKNUM(InputData[[#This Row],[DATE]])</f>
        <v>19</v>
      </c>
    </row>
    <row r="302" spans="1:10" x14ac:dyDescent="0.25">
      <c r="A302" s="3">
        <v>44320</v>
      </c>
      <c r="B302" s="6" t="s">
        <v>74</v>
      </c>
      <c r="C302" s="4" t="s">
        <v>15</v>
      </c>
      <c r="D302" s="5">
        <v>15.719999999999999</v>
      </c>
      <c r="E302" s="1">
        <v>13</v>
      </c>
      <c r="F302" s="1">
        <f>InputData[[#This Row],[UNIT PRICE ($)]]*InputData[[#This Row],[QUANTITY]]</f>
        <v>204.35999999999999</v>
      </c>
      <c r="G302" s="1" t="str">
        <f>VLOOKUP(InputData[[#This Row],[CUSTOMER NAME]],Country[#All],2,0)</f>
        <v>Brazil</v>
      </c>
      <c r="H302" s="1" t="str">
        <f>VLOOKUP(InputData[[#This Row],[CUSTOMER NAME]],Country[#All],3,0)</f>
        <v>Export</v>
      </c>
      <c r="I302" s="1" t="str">
        <f>TEXT(InputData[[#This Row],[DATE]],"MMM")</f>
        <v>May</v>
      </c>
      <c r="J302" s="1">
        <f>WEEKNUM(InputData[[#This Row],[DATE]])</f>
        <v>19</v>
      </c>
    </row>
    <row r="303" spans="1:10" x14ac:dyDescent="0.25">
      <c r="A303" s="3">
        <v>44320</v>
      </c>
      <c r="B303" s="6" t="s">
        <v>86</v>
      </c>
      <c r="C303" s="4" t="s">
        <v>20</v>
      </c>
      <c r="D303" s="5">
        <v>76.25</v>
      </c>
      <c r="E303" s="1">
        <v>10</v>
      </c>
      <c r="F303" s="1">
        <f>InputData[[#This Row],[UNIT PRICE ($)]]*InputData[[#This Row],[QUANTITY]]</f>
        <v>762.5</v>
      </c>
      <c r="G303" s="1" t="str">
        <f>VLOOKUP(InputData[[#This Row],[CUSTOMER NAME]],Country[#All],2,0)</f>
        <v>India</v>
      </c>
      <c r="H303" s="1" t="str">
        <f>VLOOKUP(InputData[[#This Row],[CUSTOMER NAME]],Country[#All],3,0)</f>
        <v>South</v>
      </c>
      <c r="I303" s="1" t="str">
        <f>TEXT(InputData[[#This Row],[DATE]],"MMM")</f>
        <v>May</v>
      </c>
      <c r="J303" s="1">
        <f>WEEKNUM(InputData[[#This Row],[DATE]])</f>
        <v>19</v>
      </c>
    </row>
    <row r="304" spans="1:10" x14ac:dyDescent="0.25">
      <c r="A304" s="3">
        <v>44321</v>
      </c>
      <c r="B304" s="6" t="s">
        <v>63</v>
      </c>
      <c r="C304" s="4" t="s">
        <v>9</v>
      </c>
      <c r="D304" s="5">
        <v>7.8599999999999994</v>
      </c>
      <c r="E304" s="1">
        <v>13</v>
      </c>
      <c r="F304" s="1">
        <f>InputData[[#This Row],[UNIT PRICE ($)]]*InputData[[#This Row],[QUANTITY]]</f>
        <v>102.17999999999999</v>
      </c>
      <c r="G304" s="1" t="str">
        <f>VLOOKUP(InputData[[#This Row],[CUSTOMER NAME]],Country[#All],2,0)</f>
        <v>Saudi Arabia</v>
      </c>
      <c r="H304" s="1" t="str">
        <f>VLOOKUP(InputData[[#This Row],[CUSTOMER NAME]],Country[#All],3,0)</f>
        <v>Export</v>
      </c>
      <c r="I304" s="1" t="str">
        <f>TEXT(InputData[[#This Row],[DATE]],"MMM")</f>
        <v>May</v>
      </c>
      <c r="J304" s="1">
        <f>WEEKNUM(InputData[[#This Row],[DATE]])</f>
        <v>19</v>
      </c>
    </row>
    <row r="305" spans="1:10" x14ac:dyDescent="0.25">
      <c r="A305" s="3">
        <v>44321</v>
      </c>
      <c r="B305" s="6" t="s">
        <v>84</v>
      </c>
      <c r="C305" s="4" t="s">
        <v>32</v>
      </c>
      <c r="D305" s="5">
        <v>117.48</v>
      </c>
      <c r="E305" s="1">
        <v>22</v>
      </c>
      <c r="F305" s="1">
        <f>InputData[[#This Row],[UNIT PRICE ($)]]*InputData[[#This Row],[QUANTITY]]</f>
        <v>2584.56</v>
      </c>
      <c r="G305" s="1" t="str">
        <f>VLOOKUP(InputData[[#This Row],[CUSTOMER NAME]],Country[#All],2,0)</f>
        <v>Ethiopia</v>
      </c>
      <c r="H305" s="1" t="str">
        <f>VLOOKUP(InputData[[#This Row],[CUSTOMER NAME]],Country[#All],3,0)</f>
        <v>Export</v>
      </c>
      <c r="I305" s="1" t="str">
        <f>TEXT(InputData[[#This Row],[DATE]],"MMM")</f>
        <v>May</v>
      </c>
      <c r="J305" s="1">
        <f>WEEKNUM(InputData[[#This Row],[DATE]])</f>
        <v>19</v>
      </c>
    </row>
    <row r="306" spans="1:10" x14ac:dyDescent="0.25">
      <c r="A306" s="3">
        <v>44322</v>
      </c>
      <c r="B306" s="6" t="s">
        <v>110</v>
      </c>
      <c r="C306" s="4" t="s">
        <v>9</v>
      </c>
      <c r="D306" s="5">
        <v>7.8599999999999994</v>
      </c>
      <c r="E306" s="1">
        <v>6</v>
      </c>
      <c r="F306" s="1">
        <f>InputData[[#This Row],[UNIT PRICE ($)]]*InputData[[#This Row],[QUANTITY]]</f>
        <v>47.16</v>
      </c>
      <c r="G306" s="1" t="str">
        <f>VLOOKUP(InputData[[#This Row],[CUSTOMER NAME]],Country[#All],2,0)</f>
        <v>India</v>
      </c>
      <c r="H306" s="1" t="str">
        <f>VLOOKUP(InputData[[#This Row],[CUSTOMER NAME]],Country[#All],3,0)</f>
        <v>Western</v>
      </c>
      <c r="I306" s="1" t="str">
        <f>TEXT(InputData[[#This Row],[DATE]],"MMM")</f>
        <v>May</v>
      </c>
      <c r="J306" s="1">
        <f>WEEKNUM(InputData[[#This Row],[DATE]])</f>
        <v>19</v>
      </c>
    </row>
    <row r="307" spans="1:10" x14ac:dyDescent="0.25">
      <c r="A307" s="3">
        <v>44322</v>
      </c>
      <c r="B307" s="6" t="s">
        <v>110</v>
      </c>
      <c r="C307" s="4" t="s">
        <v>34</v>
      </c>
      <c r="D307" s="5">
        <v>58.3</v>
      </c>
      <c r="E307" s="1">
        <v>7</v>
      </c>
      <c r="F307" s="1">
        <f>InputData[[#This Row],[UNIT PRICE ($)]]*InputData[[#This Row],[QUANTITY]]</f>
        <v>408.09999999999997</v>
      </c>
      <c r="G307" s="1" t="str">
        <f>VLOOKUP(InputData[[#This Row],[CUSTOMER NAME]],Country[#All],2,0)</f>
        <v>India</v>
      </c>
      <c r="H307" s="1" t="str">
        <f>VLOOKUP(InputData[[#This Row],[CUSTOMER NAME]],Country[#All],3,0)</f>
        <v>Western</v>
      </c>
      <c r="I307" s="1" t="str">
        <f>TEXT(InputData[[#This Row],[DATE]],"MMM")</f>
        <v>May</v>
      </c>
      <c r="J307" s="1">
        <f>WEEKNUM(InputData[[#This Row],[DATE]])</f>
        <v>19</v>
      </c>
    </row>
    <row r="308" spans="1:10" x14ac:dyDescent="0.25">
      <c r="A308" s="3">
        <v>44322</v>
      </c>
      <c r="B308" s="6" t="s">
        <v>85</v>
      </c>
      <c r="C308" s="4" t="s">
        <v>8</v>
      </c>
      <c r="D308" s="5">
        <v>94.62</v>
      </c>
      <c r="E308" s="1">
        <v>15</v>
      </c>
      <c r="F308" s="1">
        <f>InputData[[#This Row],[UNIT PRICE ($)]]*InputData[[#This Row],[QUANTITY]]</f>
        <v>1419.3000000000002</v>
      </c>
      <c r="G308" s="1" t="str">
        <f>VLOOKUP(InputData[[#This Row],[CUSTOMER NAME]],Country[#All],2,0)</f>
        <v>India</v>
      </c>
      <c r="H308" s="1" t="str">
        <f>VLOOKUP(InputData[[#This Row],[CUSTOMER NAME]],Country[#All],3,0)</f>
        <v>Northeast</v>
      </c>
      <c r="I308" s="1" t="str">
        <f>TEXT(InputData[[#This Row],[DATE]],"MMM")</f>
        <v>May</v>
      </c>
      <c r="J308" s="1">
        <f>WEEKNUM(InputData[[#This Row],[DATE]])</f>
        <v>19</v>
      </c>
    </row>
    <row r="309" spans="1:10" x14ac:dyDescent="0.25">
      <c r="A309" s="3">
        <v>44323</v>
      </c>
      <c r="B309" s="6" t="s">
        <v>60</v>
      </c>
      <c r="C309" s="4" t="s">
        <v>15</v>
      </c>
      <c r="D309" s="5">
        <v>15.719999999999999</v>
      </c>
      <c r="E309" s="1">
        <v>4</v>
      </c>
      <c r="F309" s="1">
        <f>InputData[[#This Row],[UNIT PRICE ($)]]*InputData[[#This Row],[QUANTITY]]</f>
        <v>62.879999999999995</v>
      </c>
      <c r="G309" s="1" t="str">
        <f>VLOOKUP(InputData[[#This Row],[CUSTOMER NAME]],Country[#All],2,0)</f>
        <v>Nigeria</v>
      </c>
      <c r="H309" s="1" t="str">
        <f>VLOOKUP(InputData[[#This Row],[CUSTOMER NAME]],Country[#All],3,0)</f>
        <v>Export</v>
      </c>
      <c r="I309" s="1" t="str">
        <f>TEXT(InputData[[#This Row],[DATE]],"MMM")</f>
        <v>May</v>
      </c>
      <c r="J309" s="1">
        <f>WEEKNUM(InputData[[#This Row],[DATE]])</f>
        <v>19</v>
      </c>
    </row>
    <row r="310" spans="1:10" x14ac:dyDescent="0.25">
      <c r="A310" s="3">
        <v>44323</v>
      </c>
      <c r="B310" s="6" t="s">
        <v>65</v>
      </c>
      <c r="C310" s="4" t="s">
        <v>18</v>
      </c>
      <c r="D310" s="5">
        <v>49.21</v>
      </c>
      <c r="E310" s="1">
        <v>1</v>
      </c>
      <c r="F310" s="1">
        <f>InputData[[#This Row],[UNIT PRICE ($)]]*InputData[[#This Row],[QUANTITY]]</f>
        <v>49.21</v>
      </c>
      <c r="G310" s="1" t="str">
        <f>VLOOKUP(InputData[[#This Row],[CUSTOMER NAME]],Country[#All],2,0)</f>
        <v>Pakistan</v>
      </c>
      <c r="H310" s="1" t="str">
        <f>VLOOKUP(InputData[[#This Row],[CUSTOMER NAME]],Country[#All],3,0)</f>
        <v>Export</v>
      </c>
      <c r="I310" s="1" t="str">
        <f>TEXT(InputData[[#This Row],[DATE]],"MMM")</f>
        <v>May</v>
      </c>
      <c r="J310" s="1">
        <f>WEEKNUM(InputData[[#This Row],[DATE]])</f>
        <v>19</v>
      </c>
    </row>
    <row r="311" spans="1:10" x14ac:dyDescent="0.25">
      <c r="A311" s="3">
        <v>44323</v>
      </c>
      <c r="B311" s="6" t="s">
        <v>71</v>
      </c>
      <c r="C311" s="4" t="s">
        <v>27</v>
      </c>
      <c r="D311" s="5">
        <v>57.120000000000005</v>
      </c>
      <c r="E311" s="1">
        <v>1</v>
      </c>
      <c r="F311" s="1">
        <f>InputData[[#This Row],[UNIT PRICE ($)]]*InputData[[#This Row],[QUANTITY]]</f>
        <v>57.120000000000005</v>
      </c>
      <c r="G311" s="1" t="str">
        <f>VLOOKUP(InputData[[#This Row],[CUSTOMER NAME]],Country[#All],2,0)</f>
        <v>India</v>
      </c>
      <c r="H311" s="1" t="str">
        <f>VLOOKUP(InputData[[#This Row],[CUSTOMER NAME]],Country[#All],3,0)</f>
        <v>Central</v>
      </c>
      <c r="I311" s="1" t="str">
        <f>TEXT(InputData[[#This Row],[DATE]],"MMM")</f>
        <v>May</v>
      </c>
      <c r="J311" s="1">
        <f>WEEKNUM(InputData[[#This Row],[DATE]])</f>
        <v>19</v>
      </c>
    </row>
    <row r="312" spans="1:10" x14ac:dyDescent="0.25">
      <c r="A312" s="3">
        <v>44323</v>
      </c>
      <c r="B312" s="6" t="s">
        <v>80</v>
      </c>
      <c r="C312" s="4" t="s">
        <v>16</v>
      </c>
      <c r="D312" s="5">
        <v>16.64</v>
      </c>
      <c r="E312" s="1">
        <v>39</v>
      </c>
      <c r="F312" s="1">
        <f>InputData[[#This Row],[UNIT PRICE ($)]]*InputData[[#This Row],[QUANTITY]]</f>
        <v>648.96</v>
      </c>
      <c r="G312" s="1" t="str">
        <f>VLOOKUP(InputData[[#This Row],[CUSTOMER NAME]],Country[#All],2,0)</f>
        <v>South Africa</v>
      </c>
      <c r="H312" s="1" t="str">
        <f>VLOOKUP(InputData[[#This Row],[CUSTOMER NAME]],Country[#All],3,0)</f>
        <v>Export</v>
      </c>
      <c r="I312" s="1" t="str">
        <f>TEXT(InputData[[#This Row],[DATE]],"MMM")</f>
        <v>May</v>
      </c>
      <c r="J312" s="1">
        <f>WEEKNUM(InputData[[#This Row],[DATE]])</f>
        <v>19</v>
      </c>
    </row>
    <row r="313" spans="1:10" x14ac:dyDescent="0.25">
      <c r="A313" s="3">
        <v>44323</v>
      </c>
      <c r="B313" s="6" t="s">
        <v>81</v>
      </c>
      <c r="C313" s="4" t="s">
        <v>27</v>
      </c>
      <c r="D313" s="5">
        <v>57.120000000000005</v>
      </c>
      <c r="E313" s="1">
        <v>29</v>
      </c>
      <c r="F313" s="1">
        <f>InputData[[#This Row],[UNIT PRICE ($)]]*InputData[[#This Row],[QUANTITY]]</f>
        <v>1656.48</v>
      </c>
      <c r="G313" s="1" t="str">
        <f>VLOOKUP(InputData[[#This Row],[CUSTOMER NAME]],Country[#All],2,0)</f>
        <v>India</v>
      </c>
      <c r="H313" s="1" t="str">
        <f>VLOOKUP(InputData[[#This Row],[CUSTOMER NAME]],Country[#All],3,0)</f>
        <v>East</v>
      </c>
      <c r="I313" s="1" t="str">
        <f>TEXT(InputData[[#This Row],[DATE]],"MMM")</f>
        <v>May</v>
      </c>
      <c r="J313" s="1">
        <f>WEEKNUM(InputData[[#This Row],[DATE]])</f>
        <v>19</v>
      </c>
    </row>
    <row r="314" spans="1:10" x14ac:dyDescent="0.25">
      <c r="A314" s="3">
        <v>44324</v>
      </c>
      <c r="B314" s="6" t="s">
        <v>110</v>
      </c>
      <c r="C314" s="4" t="s">
        <v>11</v>
      </c>
      <c r="D314" s="5">
        <v>48.4</v>
      </c>
      <c r="E314" s="1">
        <v>19</v>
      </c>
      <c r="F314" s="1">
        <f>InputData[[#This Row],[UNIT PRICE ($)]]*InputData[[#This Row],[QUANTITY]]</f>
        <v>919.6</v>
      </c>
      <c r="G314" s="1" t="str">
        <f>VLOOKUP(InputData[[#This Row],[CUSTOMER NAME]],Country[#All],2,0)</f>
        <v>India</v>
      </c>
      <c r="H314" s="1" t="str">
        <f>VLOOKUP(InputData[[#This Row],[CUSTOMER NAME]],Country[#All],3,0)</f>
        <v>Western</v>
      </c>
      <c r="I314" s="1" t="str">
        <f>TEXT(InputData[[#This Row],[DATE]],"MMM")</f>
        <v>May</v>
      </c>
      <c r="J314" s="1">
        <f>WEEKNUM(InputData[[#This Row],[DATE]])</f>
        <v>19</v>
      </c>
    </row>
    <row r="315" spans="1:10" x14ac:dyDescent="0.25">
      <c r="A315" s="3">
        <v>44324</v>
      </c>
      <c r="B315" s="6" t="s">
        <v>83</v>
      </c>
      <c r="C315" s="4" t="s">
        <v>22</v>
      </c>
      <c r="D315" s="5">
        <v>141.57</v>
      </c>
      <c r="E315" s="1">
        <v>7</v>
      </c>
      <c r="F315" s="1">
        <f>InputData[[#This Row],[UNIT PRICE ($)]]*InputData[[#This Row],[QUANTITY]]</f>
        <v>990.99</v>
      </c>
      <c r="G315" s="1" t="str">
        <f>VLOOKUP(InputData[[#This Row],[CUSTOMER NAME]],Country[#All],2,0)</f>
        <v>India</v>
      </c>
      <c r="H315" s="1" t="str">
        <f>VLOOKUP(InputData[[#This Row],[CUSTOMER NAME]],Country[#All],3,0)</f>
        <v>North</v>
      </c>
      <c r="I315" s="1" t="str">
        <f>TEXT(InputData[[#This Row],[DATE]],"MMM")</f>
        <v>May</v>
      </c>
      <c r="J315" s="1">
        <f>WEEKNUM(InputData[[#This Row],[DATE]])</f>
        <v>19</v>
      </c>
    </row>
    <row r="316" spans="1:10" x14ac:dyDescent="0.25">
      <c r="A316" s="3">
        <v>44325</v>
      </c>
      <c r="B316" s="6" t="s">
        <v>60</v>
      </c>
      <c r="C316" s="4" t="s">
        <v>28</v>
      </c>
      <c r="D316" s="5">
        <v>41.81</v>
      </c>
      <c r="E316" s="1">
        <v>8</v>
      </c>
      <c r="F316" s="1">
        <f>InputData[[#This Row],[UNIT PRICE ($)]]*InputData[[#This Row],[QUANTITY]]</f>
        <v>334.48</v>
      </c>
      <c r="G316" s="1" t="str">
        <f>VLOOKUP(InputData[[#This Row],[CUSTOMER NAME]],Country[#All],2,0)</f>
        <v>Nigeria</v>
      </c>
      <c r="H316" s="1" t="str">
        <f>VLOOKUP(InputData[[#This Row],[CUSTOMER NAME]],Country[#All],3,0)</f>
        <v>Export</v>
      </c>
      <c r="I316" s="1" t="str">
        <f>TEXT(InputData[[#This Row],[DATE]],"MMM")</f>
        <v>May</v>
      </c>
      <c r="J316" s="1">
        <f>WEEKNUM(InputData[[#This Row],[DATE]])</f>
        <v>20</v>
      </c>
    </row>
    <row r="317" spans="1:10" x14ac:dyDescent="0.25">
      <c r="A317" s="3">
        <v>44325</v>
      </c>
      <c r="B317" s="6" t="s">
        <v>70</v>
      </c>
      <c r="C317" s="4" t="s">
        <v>16</v>
      </c>
      <c r="D317" s="5">
        <v>16.64</v>
      </c>
      <c r="E317" s="1">
        <v>6</v>
      </c>
      <c r="F317" s="1">
        <f>InputData[[#This Row],[UNIT PRICE ($)]]*InputData[[#This Row],[QUANTITY]]</f>
        <v>99.84</v>
      </c>
      <c r="G317" s="1" t="str">
        <f>VLOOKUP(InputData[[#This Row],[CUSTOMER NAME]],Country[#All],2,0)</f>
        <v>Mexico</v>
      </c>
      <c r="H317" s="1" t="str">
        <f>VLOOKUP(InputData[[#This Row],[CUSTOMER NAME]],Country[#All],3,0)</f>
        <v>Export</v>
      </c>
      <c r="I317" s="1" t="str">
        <f>TEXT(InputData[[#This Row],[DATE]],"MMM")</f>
        <v>May</v>
      </c>
      <c r="J317" s="1">
        <f>WEEKNUM(InputData[[#This Row],[DATE]])</f>
        <v>20</v>
      </c>
    </row>
    <row r="318" spans="1:10" x14ac:dyDescent="0.25">
      <c r="A318" s="3">
        <v>44325</v>
      </c>
      <c r="B318" s="6" t="s">
        <v>71</v>
      </c>
      <c r="C318" s="4" t="s">
        <v>17</v>
      </c>
      <c r="D318" s="5">
        <v>156.78</v>
      </c>
      <c r="E318" s="1">
        <v>12</v>
      </c>
      <c r="F318" s="1">
        <f>InputData[[#This Row],[UNIT PRICE ($)]]*InputData[[#This Row],[QUANTITY]]</f>
        <v>1881.3600000000001</v>
      </c>
      <c r="G318" s="1" t="str">
        <f>VLOOKUP(InputData[[#This Row],[CUSTOMER NAME]],Country[#All],2,0)</f>
        <v>India</v>
      </c>
      <c r="H318" s="1" t="str">
        <f>VLOOKUP(InputData[[#This Row],[CUSTOMER NAME]],Country[#All],3,0)</f>
        <v>Central</v>
      </c>
      <c r="I318" s="1" t="str">
        <f>TEXT(InputData[[#This Row],[DATE]],"MMM")</f>
        <v>May</v>
      </c>
      <c r="J318" s="1">
        <f>WEEKNUM(InputData[[#This Row],[DATE]])</f>
        <v>20</v>
      </c>
    </row>
    <row r="319" spans="1:10" x14ac:dyDescent="0.25">
      <c r="A319" s="3">
        <v>44325</v>
      </c>
      <c r="B319" s="6" t="s">
        <v>82</v>
      </c>
      <c r="C319" s="4" t="s">
        <v>24</v>
      </c>
      <c r="D319" s="5">
        <v>156.96</v>
      </c>
      <c r="E319" s="1">
        <v>37</v>
      </c>
      <c r="F319" s="1">
        <f>InputData[[#This Row],[UNIT PRICE ($)]]*InputData[[#This Row],[QUANTITY]]</f>
        <v>5807.52</v>
      </c>
      <c r="G319" s="1" t="str">
        <f>VLOOKUP(InputData[[#This Row],[CUSTOMER NAME]],Country[#All],2,0)</f>
        <v>India</v>
      </c>
      <c r="H319" s="1" t="str">
        <f>VLOOKUP(InputData[[#This Row],[CUSTOMER NAME]],Country[#All],3,0)</f>
        <v>Western</v>
      </c>
      <c r="I319" s="1" t="str">
        <f>TEXT(InputData[[#This Row],[DATE]],"MMM")</f>
        <v>May</v>
      </c>
      <c r="J319" s="1">
        <f>WEEKNUM(InputData[[#This Row],[DATE]])</f>
        <v>20</v>
      </c>
    </row>
    <row r="320" spans="1:10" x14ac:dyDescent="0.25">
      <c r="A320" s="3">
        <v>44325</v>
      </c>
      <c r="B320" s="6" t="s">
        <v>88</v>
      </c>
      <c r="C320" s="4" t="s">
        <v>28</v>
      </c>
      <c r="D320" s="5">
        <v>41.81</v>
      </c>
      <c r="E320" s="1">
        <v>4</v>
      </c>
      <c r="F320" s="1">
        <f>InputData[[#This Row],[UNIT PRICE ($)]]*InputData[[#This Row],[QUANTITY]]</f>
        <v>167.24</v>
      </c>
      <c r="G320" s="1" t="str">
        <f>VLOOKUP(InputData[[#This Row],[CUSTOMER NAME]],Country[#All],2,0)</f>
        <v>India</v>
      </c>
      <c r="H320" s="1" t="str">
        <f>VLOOKUP(InputData[[#This Row],[CUSTOMER NAME]],Country[#All],3,0)</f>
        <v>South</v>
      </c>
      <c r="I320" s="1" t="str">
        <f>TEXT(InputData[[#This Row],[DATE]],"MMM")</f>
        <v>May</v>
      </c>
      <c r="J320" s="1">
        <f>WEEKNUM(InputData[[#This Row],[DATE]])</f>
        <v>20</v>
      </c>
    </row>
    <row r="321" spans="1:10" x14ac:dyDescent="0.25">
      <c r="A321" s="3">
        <v>44326</v>
      </c>
      <c r="B321" s="6" t="s">
        <v>110</v>
      </c>
      <c r="C321" s="4" t="s">
        <v>9</v>
      </c>
      <c r="D321" s="5">
        <v>7.8599999999999994</v>
      </c>
      <c r="E321" s="1">
        <v>6</v>
      </c>
      <c r="F321" s="1">
        <f>InputData[[#This Row],[UNIT PRICE ($)]]*InputData[[#This Row],[QUANTITY]]</f>
        <v>47.16</v>
      </c>
      <c r="G321" s="1" t="str">
        <f>VLOOKUP(InputData[[#This Row],[CUSTOMER NAME]],Country[#All],2,0)</f>
        <v>India</v>
      </c>
      <c r="H321" s="1" t="str">
        <f>VLOOKUP(InputData[[#This Row],[CUSTOMER NAME]],Country[#All],3,0)</f>
        <v>Western</v>
      </c>
      <c r="I321" s="1" t="str">
        <f>TEXT(InputData[[#This Row],[DATE]],"MMM")</f>
        <v>May</v>
      </c>
      <c r="J321" s="1">
        <f>WEEKNUM(InputData[[#This Row],[DATE]])</f>
        <v>20</v>
      </c>
    </row>
    <row r="322" spans="1:10" x14ac:dyDescent="0.25">
      <c r="A322" s="3">
        <v>44326</v>
      </c>
      <c r="B322" s="6" t="s">
        <v>76</v>
      </c>
      <c r="C322" s="4" t="s">
        <v>26</v>
      </c>
      <c r="D322" s="5">
        <v>24.66</v>
      </c>
      <c r="E322" s="1">
        <v>9</v>
      </c>
      <c r="F322" s="1">
        <f>InputData[[#This Row],[UNIT PRICE ($)]]*InputData[[#This Row],[QUANTITY]]</f>
        <v>221.94</v>
      </c>
      <c r="G322" s="1" t="str">
        <f>VLOOKUP(InputData[[#This Row],[CUSTOMER NAME]],Country[#All],2,0)</f>
        <v>Saudi Arabia</v>
      </c>
      <c r="H322" s="1" t="str">
        <f>VLOOKUP(InputData[[#This Row],[CUSTOMER NAME]],Country[#All],3,0)</f>
        <v>Export</v>
      </c>
      <c r="I322" s="1" t="str">
        <f>TEXT(InputData[[#This Row],[DATE]],"MMM")</f>
        <v>May</v>
      </c>
      <c r="J322" s="1">
        <f>WEEKNUM(InputData[[#This Row],[DATE]])</f>
        <v>20</v>
      </c>
    </row>
    <row r="323" spans="1:10" x14ac:dyDescent="0.25">
      <c r="A323" s="3">
        <v>44328</v>
      </c>
      <c r="B323" s="6" t="s">
        <v>61</v>
      </c>
      <c r="C323" s="4" t="s">
        <v>36</v>
      </c>
      <c r="D323" s="5">
        <v>96.3</v>
      </c>
      <c r="E323" s="1">
        <v>3</v>
      </c>
      <c r="F323" s="1">
        <f>InputData[[#This Row],[UNIT PRICE ($)]]*InputData[[#This Row],[QUANTITY]]</f>
        <v>288.89999999999998</v>
      </c>
      <c r="G323" s="1" t="str">
        <f>VLOOKUP(InputData[[#This Row],[CUSTOMER NAME]],Country[#All],2,0)</f>
        <v>Bangladesh</v>
      </c>
      <c r="H323" s="1" t="str">
        <f>VLOOKUP(InputData[[#This Row],[CUSTOMER NAME]],Country[#All],3,0)</f>
        <v>Export</v>
      </c>
      <c r="I323" s="1" t="str">
        <f>TEXT(InputData[[#This Row],[DATE]],"MMM")</f>
        <v>May</v>
      </c>
      <c r="J323" s="1">
        <f>WEEKNUM(InputData[[#This Row],[DATE]])</f>
        <v>20</v>
      </c>
    </row>
    <row r="324" spans="1:10" x14ac:dyDescent="0.25">
      <c r="A324" s="3">
        <v>44328</v>
      </c>
      <c r="B324" s="6" t="s">
        <v>73</v>
      </c>
      <c r="C324" s="4" t="s">
        <v>11</v>
      </c>
      <c r="D324" s="5">
        <v>48.4</v>
      </c>
      <c r="E324" s="1">
        <v>7</v>
      </c>
      <c r="F324" s="1">
        <f>InputData[[#This Row],[UNIT PRICE ($)]]*InputData[[#This Row],[QUANTITY]]</f>
        <v>338.8</v>
      </c>
      <c r="G324" s="1" t="str">
        <f>VLOOKUP(InputData[[#This Row],[CUSTOMER NAME]],Country[#All],2,0)</f>
        <v>India</v>
      </c>
      <c r="H324" s="1" t="str">
        <f>VLOOKUP(InputData[[#This Row],[CUSTOMER NAME]],Country[#All],3,0)</f>
        <v>East</v>
      </c>
      <c r="I324" s="1" t="str">
        <f>TEXT(InputData[[#This Row],[DATE]],"MMM")</f>
        <v>May</v>
      </c>
      <c r="J324" s="1">
        <f>WEEKNUM(InputData[[#This Row],[DATE]])</f>
        <v>20</v>
      </c>
    </row>
    <row r="325" spans="1:10" x14ac:dyDescent="0.25">
      <c r="A325" s="3">
        <v>44328</v>
      </c>
      <c r="B325" s="6" t="s">
        <v>84</v>
      </c>
      <c r="C325" s="4" t="s">
        <v>10</v>
      </c>
      <c r="D325" s="5">
        <v>164.28</v>
      </c>
      <c r="E325" s="1">
        <v>30</v>
      </c>
      <c r="F325" s="1">
        <f>InputData[[#This Row],[UNIT PRICE ($)]]*InputData[[#This Row],[QUANTITY]]</f>
        <v>4928.3999999999996</v>
      </c>
      <c r="G325" s="1" t="str">
        <f>VLOOKUP(InputData[[#This Row],[CUSTOMER NAME]],Country[#All],2,0)</f>
        <v>Ethiopia</v>
      </c>
      <c r="H325" s="1" t="str">
        <f>VLOOKUP(InputData[[#This Row],[CUSTOMER NAME]],Country[#All],3,0)</f>
        <v>Export</v>
      </c>
      <c r="I325" s="1" t="str">
        <f>TEXT(InputData[[#This Row],[DATE]],"MMM")</f>
        <v>May</v>
      </c>
      <c r="J325" s="1">
        <f>WEEKNUM(InputData[[#This Row],[DATE]])</f>
        <v>20</v>
      </c>
    </row>
    <row r="326" spans="1:10" x14ac:dyDescent="0.25">
      <c r="A326" s="3">
        <v>44328</v>
      </c>
      <c r="B326" s="6" t="s">
        <v>85</v>
      </c>
      <c r="C326" s="4" t="s">
        <v>16</v>
      </c>
      <c r="D326" s="5">
        <v>16.64</v>
      </c>
      <c r="E326" s="1">
        <v>3</v>
      </c>
      <c r="F326" s="1">
        <f>InputData[[#This Row],[UNIT PRICE ($)]]*InputData[[#This Row],[QUANTITY]]</f>
        <v>49.92</v>
      </c>
      <c r="G326" s="1" t="str">
        <f>VLOOKUP(InputData[[#This Row],[CUSTOMER NAME]],Country[#All],2,0)</f>
        <v>India</v>
      </c>
      <c r="H326" s="1" t="str">
        <f>VLOOKUP(InputData[[#This Row],[CUSTOMER NAME]],Country[#All],3,0)</f>
        <v>Northeast</v>
      </c>
      <c r="I326" s="1" t="str">
        <f>TEXT(InputData[[#This Row],[DATE]],"MMM")</f>
        <v>May</v>
      </c>
      <c r="J326" s="1">
        <f>WEEKNUM(InputData[[#This Row],[DATE]])</f>
        <v>20</v>
      </c>
    </row>
    <row r="327" spans="1:10" x14ac:dyDescent="0.25">
      <c r="A327" s="3">
        <v>44328</v>
      </c>
      <c r="B327" s="6" t="s">
        <v>88</v>
      </c>
      <c r="C327" s="4" t="s">
        <v>35</v>
      </c>
      <c r="D327" s="5">
        <v>6.7</v>
      </c>
      <c r="E327" s="1">
        <v>15</v>
      </c>
      <c r="F327" s="1">
        <f>InputData[[#This Row],[UNIT PRICE ($)]]*InputData[[#This Row],[QUANTITY]]</f>
        <v>100.5</v>
      </c>
      <c r="G327" s="1" t="str">
        <f>VLOOKUP(InputData[[#This Row],[CUSTOMER NAME]],Country[#All],2,0)</f>
        <v>India</v>
      </c>
      <c r="H327" s="1" t="str">
        <f>VLOOKUP(InputData[[#This Row],[CUSTOMER NAME]],Country[#All],3,0)</f>
        <v>South</v>
      </c>
      <c r="I327" s="1" t="str">
        <f>TEXT(InputData[[#This Row],[DATE]],"MMM")</f>
        <v>May</v>
      </c>
      <c r="J327" s="1">
        <f>WEEKNUM(InputData[[#This Row],[DATE]])</f>
        <v>20</v>
      </c>
    </row>
    <row r="328" spans="1:10" x14ac:dyDescent="0.25">
      <c r="A328" s="3">
        <v>44329</v>
      </c>
      <c r="B328" s="6" t="s">
        <v>70</v>
      </c>
      <c r="C328" s="4" t="s">
        <v>29</v>
      </c>
      <c r="D328" s="5">
        <v>53.11</v>
      </c>
      <c r="E328" s="1">
        <v>4</v>
      </c>
      <c r="F328" s="1">
        <f>InputData[[#This Row],[UNIT PRICE ($)]]*InputData[[#This Row],[QUANTITY]]</f>
        <v>212.44</v>
      </c>
      <c r="G328" s="1" t="str">
        <f>VLOOKUP(InputData[[#This Row],[CUSTOMER NAME]],Country[#All],2,0)</f>
        <v>Mexico</v>
      </c>
      <c r="H328" s="1" t="str">
        <f>VLOOKUP(InputData[[#This Row],[CUSTOMER NAME]],Country[#All],3,0)</f>
        <v>Export</v>
      </c>
      <c r="I328" s="1" t="str">
        <f>TEXT(InputData[[#This Row],[DATE]],"MMM")</f>
        <v>May</v>
      </c>
      <c r="J328" s="1">
        <f>WEEKNUM(InputData[[#This Row],[DATE]])</f>
        <v>20</v>
      </c>
    </row>
    <row r="329" spans="1:10" x14ac:dyDescent="0.25">
      <c r="A329" s="3">
        <v>44329</v>
      </c>
      <c r="B329" s="6" t="s">
        <v>86</v>
      </c>
      <c r="C329" s="4" t="s">
        <v>12</v>
      </c>
      <c r="D329" s="5">
        <v>94.17</v>
      </c>
      <c r="E329" s="1">
        <v>5</v>
      </c>
      <c r="F329" s="1">
        <f>InputData[[#This Row],[UNIT PRICE ($)]]*InputData[[#This Row],[QUANTITY]]</f>
        <v>470.85</v>
      </c>
      <c r="G329" s="1" t="str">
        <f>VLOOKUP(InputData[[#This Row],[CUSTOMER NAME]],Country[#All],2,0)</f>
        <v>India</v>
      </c>
      <c r="H329" s="1" t="str">
        <f>VLOOKUP(InputData[[#This Row],[CUSTOMER NAME]],Country[#All],3,0)</f>
        <v>South</v>
      </c>
      <c r="I329" s="1" t="str">
        <f>TEXT(InputData[[#This Row],[DATE]],"MMM")</f>
        <v>May</v>
      </c>
      <c r="J329" s="1">
        <f>WEEKNUM(InputData[[#This Row],[DATE]])</f>
        <v>20</v>
      </c>
    </row>
    <row r="330" spans="1:10" x14ac:dyDescent="0.25">
      <c r="A330" s="3">
        <v>44330</v>
      </c>
      <c r="B330" s="6" t="s">
        <v>64</v>
      </c>
      <c r="C330" s="4" t="s">
        <v>40</v>
      </c>
      <c r="D330" s="5">
        <v>115.2</v>
      </c>
      <c r="E330" s="1">
        <v>20</v>
      </c>
      <c r="F330" s="1">
        <f>InputData[[#This Row],[UNIT PRICE ($)]]*InputData[[#This Row],[QUANTITY]]</f>
        <v>2304</v>
      </c>
      <c r="G330" s="1" t="str">
        <f>VLOOKUP(InputData[[#This Row],[CUSTOMER NAME]],Country[#All],2,0)</f>
        <v>India</v>
      </c>
      <c r="H330" s="1" t="str">
        <f>VLOOKUP(InputData[[#This Row],[CUSTOMER NAME]],Country[#All],3,0)</f>
        <v>Northeast</v>
      </c>
      <c r="I330" s="1" t="str">
        <f>TEXT(InputData[[#This Row],[DATE]],"MMM")</f>
        <v>May</v>
      </c>
      <c r="J330" s="1">
        <f>WEEKNUM(InputData[[#This Row],[DATE]])</f>
        <v>20</v>
      </c>
    </row>
    <row r="331" spans="1:10" x14ac:dyDescent="0.25">
      <c r="A331" s="3">
        <v>44330</v>
      </c>
      <c r="B331" s="6" t="s">
        <v>75</v>
      </c>
      <c r="C331" s="4" t="s">
        <v>8</v>
      </c>
      <c r="D331" s="5">
        <v>94.62</v>
      </c>
      <c r="E331" s="1">
        <v>14</v>
      </c>
      <c r="F331" s="1">
        <f>InputData[[#This Row],[UNIT PRICE ($)]]*InputData[[#This Row],[QUANTITY]]</f>
        <v>1324.68</v>
      </c>
      <c r="G331" s="1" t="str">
        <f>VLOOKUP(InputData[[#This Row],[CUSTOMER NAME]],Country[#All],2,0)</f>
        <v>Russia</v>
      </c>
      <c r="H331" s="1" t="str">
        <f>VLOOKUP(InputData[[#This Row],[CUSTOMER NAME]],Country[#All],3,0)</f>
        <v>Export</v>
      </c>
      <c r="I331" s="1" t="str">
        <f>TEXT(InputData[[#This Row],[DATE]],"MMM")</f>
        <v>May</v>
      </c>
      <c r="J331" s="1">
        <f>WEEKNUM(InputData[[#This Row],[DATE]])</f>
        <v>20</v>
      </c>
    </row>
    <row r="332" spans="1:10" x14ac:dyDescent="0.25">
      <c r="A332" s="3">
        <v>44331</v>
      </c>
      <c r="B332" s="6" t="s">
        <v>65</v>
      </c>
      <c r="C332" s="4" t="s">
        <v>13</v>
      </c>
      <c r="D332" s="5">
        <v>122.08</v>
      </c>
      <c r="E332" s="1">
        <v>6</v>
      </c>
      <c r="F332" s="1">
        <f>InputData[[#This Row],[UNIT PRICE ($)]]*InputData[[#This Row],[QUANTITY]]</f>
        <v>732.48</v>
      </c>
      <c r="G332" s="1" t="str">
        <f>VLOOKUP(InputData[[#This Row],[CUSTOMER NAME]],Country[#All],2,0)</f>
        <v>Pakistan</v>
      </c>
      <c r="H332" s="1" t="str">
        <f>VLOOKUP(InputData[[#This Row],[CUSTOMER NAME]],Country[#All],3,0)</f>
        <v>Export</v>
      </c>
      <c r="I332" s="1" t="str">
        <f>TEXT(InputData[[#This Row],[DATE]],"MMM")</f>
        <v>May</v>
      </c>
      <c r="J332" s="1">
        <f>WEEKNUM(InputData[[#This Row],[DATE]])</f>
        <v>20</v>
      </c>
    </row>
    <row r="333" spans="1:10" x14ac:dyDescent="0.25">
      <c r="A333" s="3">
        <v>44331</v>
      </c>
      <c r="B333" s="6" t="s">
        <v>70</v>
      </c>
      <c r="C333" s="4" t="s">
        <v>20</v>
      </c>
      <c r="D333" s="5">
        <v>76.25</v>
      </c>
      <c r="E333" s="1">
        <v>5</v>
      </c>
      <c r="F333" s="1">
        <f>InputData[[#This Row],[UNIT PRICE ($)]]*InputData[[#This Row],[QUANTITY]]</f>
        <v>381.25</v>
      </c>
      <c r="G333" s="1" t="str">
        <f>VLOOKUP(InputData[[#This Row],[CUSTOMER NAME]],Country[#All],2,0)</f>
        <v>Mexico</v>
      </c>
      <c r="H333" s="1" t="str">
        <f>VLOOKUP(InputData[[#This Row],[CUSTOMER NAME]],Country[#All],3,0)</f>
        <v>Export</v>
      </c>
      <c r="I333" s="1" t="str">
        <f>TEXT(InputData[[#This Row],[DATE]],"MMM")</f>
        <v>May</v>
      </c>
      <c r="J333" s="1">
        <f>WEEKNUM(InputData[[#This Row],[DATE]])</f>
        <v>20</v>
      </c>
    </row>
    <row r="334" spans="1:10" x14ac:dyDescent="0.25">
      <c r="A334" s="3">
        <v>44332</v>
      </c>
      <c r="B334" s="6" t="s">
        <v>68</v>
      </c>
      <c r="C334" s="4" t="s">
        <v>10</v>
      </c>
      <c r="D334" s="5">
        <v>164.28</v>
      </c>
      <c r="E334" s="1">
        <v>13</v>
      </c>
      <c r="F334" s="1">
        <f>InputData[[#This Row],[UNIT PRICE ($)]]*InputData[[#This Row],[QUANTITY]]</f>
        <v>2135.64</v>
      </c>
      <c r="G334" s="1" t="str">
        <f>VLOOKUP(InputData[[#This Row],[CUSTOMER NAME]],Country[#All],2,0)</f>
        <v>Russia</v>
      </c>
      <c r="H334" s="1" t="str">
        <f>VLOOKUP(InputData[[#This Row],[CUSTOMER NAME]],Country[#All],3,0)</f>
        <v>Export</v>
      </c>
      <c r="I334" s="1" t="str">
        <f>TEXT(InputData[[#This Row],[DATE]],"MMM")</f>
        <v>May</v>
      </c>
      <c r="J334" s="1">
        <f>WEEKNUM(InputData[[#This Row],[DATE]])</f>
        <v>21</v>
      </c>
    </row>
    <row r="335" spans="1:10" x14ac:dyDescent="0.25">
      <c r="A335" s="3">
        <v>44332</v>
      </c>
      <c r="B335" s="6" t="s">
        <v>86</v>
      </c>
      <c r="C335" s="4" t="s">
        <v>31</v>
      </c>
      <c r="D335" s="5">
        <v>104.16</v>
      </c>
      <c r="E335" s="1">
        <v>13</v>
      </c>
      <c r="F335" s="1">
        <f>InputData[[#This Row],[UNIT PRICE ($)]]*InputData[[#This Row],[QUANTITY]]</f>
        <v>1354.08</v>
      </c>
      <c r="G335" s="1" t="str">
        <f>VLOOKUP(InputData[[#This Row],[CUSTOMER NAME]],Country[#All],2,0)</f>
        <v>India</v>
      </c>
      <c r="H335" s="1" t="str">
        <f>VLOOKUP(InputData[[#This Row],[CUSTOMER NAME]],Country[#All],3,0)</f>
        <v>South</v>
      </c>
      <c r="I335" s="1" t="str">
        <f>TEXT(InputData[[#This Row],[DATE]],"MMM")</f>
        <v>May</v>
      </c>
      <c r="J335" s="1">
        <f>WEEKNUM(InputData[[#This Row],[DATE]])</f>
        <v>21</v>
      </c>
    </row>
    <row r="336" spans="1:10" x14ac:dyDescent="0.25">
      <c r="A336" s="3">
        <v>44333</v>
      </c>
      <c r="B336" s="6" t="s">
        <v>81</v>
      </c>
      <c r="C336" s="4" t="s">
        <v>32</v>
      </c>
      <c r="D336" s="5">
        <v>117.48</v>
      </c>
      <c r="E336" s="1">
        <v>34</v>
      </c>
      <c r="F336" s="1">
        <f>InputData[[#This Row],[UNIT PRICE ($)]]*InputData[[#This Row],[QUANTITY]]</f>
        <v>3994.32</v>
      </c>
      <c r="G336" s="1" t="str">
        <f>VLOOKUP(InputData[[#This Row],[CUSTOMER NAME]],Country[#All],2,0)</f>
        <v>India</v>
      </c>
      <c r="H336" s="1" t="str">
        <f>VLOOKUP(InputData[[#This Row],[CUSTOMER NAME]],Country[#All],3,0)</f>
        <v>East</v>
      </c>
      <c r="I336" s="1" t="str">
        <f>TEXT(InputData[[#This Row],[DATE]],"MMM")</f>
        <v>May</v>
      </c>
      <c r="J336" s="1">
        <f>WEEKNUM(InputData[[#This Row],[DATE]])</f>
        <v>21</v>
      </c>
    </row>
    <row r="337" spans="1:10" x14ac:dyDescent="0.25">
      <c r="A337" s="3">
        <v>44333</v>
      </c>
      <c r="B337" s="6" t="s">
        <v>89</v>
      </c>
      <c r="C337" s="4" t="s">
        <v>27</v>
      </c>
      <c r="D337" s="5">
        <v>57.120000000000005</v>
      </c>
      <c r="E337" s="1">
        <v>8</v>
      </c>
      <c r="F337" s="1">
        <f>InputData[[#This Row],[UNIT PRICE ($)]]*InputData[[#This Row],[QUANTITY]]</f>
        <v>456.96000000000004</v>
      </c>
      <c r="G337" s="1" t="str">
        <f>VLOOKUP(InputData[[#This Row],[CUSTOMER NAME]],Country[#All],2,0)</f>
        <v>Mexico</v>
      </c>
      <c r="H337" s="1" t="str">
        <f>VLOOKUP(InputData[[#This Row],[CUSTOMER NAME]],Country[#All],3,0)</f>
        <v>Export</v>
      </c>
      <c r="I337" s="1" t="str">
        <f>TEXT(InputData[[#This Row],[DATE]],"MMM")</f>
        <v>May</v>
      </c>
      <c r="J337" s="1">
        <f>WEEKNUM(InputData[[#This Row],[DATE]])</f>
        <v>21</v>
      </c>
    </row>
    <row r="338" spans="1:10" x14ac:dyDescent="0.25">
      <c r="A338" s="3">
        <v>44334</v>
      </c>
      <c r="B338" s="6" t="s">
        <v>65</v>
      </c>
      <c r="C338" s="4" t="s">
        <v>27</v>
      </c>
      <c r="D338" s="5">
        <v>57.120000000000005</v>
      </c>
      <c r="E338" s="1">
        <v>4</v>
      </c>
      <c r="F338" s="1">
        <f>InputData[[#This Row],[UNIT PRICE ($)]]*InputData[[#This Row],[QUANTITY]]</f>
        <v>228.48000000000002</v>
      </c>
      <c r="G338" s="1" t="str">
        <f>VLOOKUP(InputData[[#This Row],[CUSTOMER NAME]],Country[#All],2,0)</f>
        <v>Pakistan</v>
      </c>
      <c r="H338" s="1" t="str">
        <f>VLOOKUP(InputData[[#This Row],[CUSTOMER NAME]],Country[#All],3,0)</f>
        <v>Export</v>
      </c>
      <c r="I338" s="1" t="str">
        <f>TEXT(InputData[[#This Row],[DATE]],"MMM")</f>
        <v>May</v>
      </c>
      <c r="J338" s="1">
        <f>WEEKNUM(InputData[[#This Row],[DATE]])</f>
        <v>21</v>
      </c>
    </row>
    <row r="339" spans="1:10" x14ac:dyDescent="0.25">
      <c r="A339" s="3">
        <v>44334</v>
      </c>
      <c r="B339" s="6" t="s">
        <v>70</v>
      </c>
      <c r="C339" s="4" t="s">
        <v>38</v>
      </c>
      <c r="D339" s="5">
        <v>79.92</v>
      </c>
      <c r="E339" s="1">
        <v>8</v>
      </c>
      <c r="F339" s="1">
        <f>InputData[[#This Row],[UNIT PRICE ($)]]*InputData[[#This Row],[QUANTITY]]</f>
        <v>639.36</v>
      </c>
      <c r="G339" s="1" t="str">
        <f>VLOOKUP(InputData[[#This Row],[CUSTOMER NAME]],Country[#All],2,0)</f>
        <v>Mexico</v>
      </c>
      <c r="H339" s="1" t="str">
        <f>VLOOKUP(InputData[[#This Row],[CUSTOMER NAME]],Country[#All],3,0)</f>
        <v>Export</v>
      </c>
      <c r="I339" s="1" t="str">
        <f>TEXT(InputData[[#This Row],[DATE]],"MMM")</f>
        <v>May</v>
      </c>
      <c r="J339" s="1">
        <f>WEEKNUM(InputData[[#This Row],[DATE]])</f>
        <v>21</v>
      </c>
    </row>
    <row r="340" spans="1:10" x14ac:dyDescent="0.25">
      <c r="A340" s="3">
        <v>44334</v>
      </c>
      <c r="B340" s="6" t="s">
        <v>79</v>
      </c>
      <c r="C340" s="4" t="s">
        <v>6</v>
      </c>
      <c r="D340" s="5">
        <v>85.5</v>
      </c>
      <c r="E340" s="1">
        <v>1</v>
      </c>
      <c r="F340" s="1">
        <f>InputData[[#This Row],[UNIT PRICE ($)]]*InputData[[#This Row],[QUANTITY]]</f>
        <v>85.5</v>
      </c>
      <c r="G340" s="1" t="str">
        <f>VLOOKUP(InputData[[#This Row],[CUSTOMER NAME]],Country[#All],2,0)</f>
        <v>United Kingdom</v>
      </c>
      <c r="H340" s="1" t="str">
        <f>VLOOKUP(InputData[[#This Row],[CUSTOMER NAME]],Country[#All],3,0)</f>
        <v>Export</v>
      </c>
      <c r="I340" s="1" t="str">
        <f>TEXT(InputData[[#This Row],[DATE]],"MMM")</f>
        <v>May</v>
      </c>
      <c r="J340" s="1">
        <f>WEEKNUM(InputData[[#This Row],[DATE]])</f>
        <v>21</v>
      </c>
    </row>
    <row r="341" spans="1:10" x14ac:dyDescent="0.25">
      <c r="A341" s="3">
        <v>44335</v>
      </c>
      <c r="B341" s="6" t="s">
        <v>77</v>
      </c>
      <c r="C341" s="4" t="s">
        <v>39</v>
      </c>
      <c r="D341" s="5">
        <v>42.55</v>
      </c>
      <c r="E341" s="1">
        <v>9</v>
      </c>
      <c r="F341" s="1">
        <f>InputData[[#This Row],[UNIT PRICE ($)]]*InputData[[#This Row],[QUANTITY]]</f>
        <v>382.95</v>
      </c>
      <c r="G341" s="1" t="str">
        <f>VLOOKUP(InputData[[#This Row],[CUSTOMER NAME]],Country[#All],2,0)</f>
        <v>India</v>
      </c>
      <c r="H341" s="1" t="str">
        <f>VLOOKUP(InputData[[#This Row],[CUSTOMER NAME]],Country[#All],3,0)</f>
        <v>Western</v>
      </c>
      <c r="I341" s="1" t="str">
        <f>TEXT(InputData[[#This Row],[DATE]],"MMM")</f>
        <v>May</v>
      </c>
      <c r="J341" s="1">
        <f>WEEKNUM(InputData[[#This Row],[DATE]])</f>
        <v>21</v>
      </c>
    </row>
    <row r="342" spans="1:10" x14ac:dyDescent="0.25">
      <c r="A342" s="3">
        <v>44336</v>
      </c>
      <c r="B342" s="6" t="s">
        <v>110</v>
      </c>
      <c r="C342" s="4" t="s">
        <v>13</v>
      </c>
      <c r="D342" s="5">
        <v>122.08</v>
      </c>
      <c r="E342" s="1">
        <v>11</v>
      </c>
      <c r="F342" s="1">
        <f>InputData[[#This Row],[UNIT PRICE ($)]]*InputData[[#This Row],[QUANTITY]]</f>
        <v>1342.8799999999999</v>
      </c>
      <c r="G342" s="1" t="str">
        <f>VLOOKUP(InputData[[#This Row],[CUSTOMER NAME]],Country[#All],2,0)</f>
        <v>India</v>
      </c>
      <c r="H342" s="1" t="str">
        <f>VLOOKUP(InputData[[#This Row],[CUSTOMER NAME]],Country[#All],3,0)</f>
        <v>Western</v>
      </c>
      <c r="I342" s="1" t="str">
        <f>TEXT(InputData[[#This Row],[DATE]],"MMM")</f>
        <v>May</v>
      </c>
      <c r="J342" s="1">
        <f>WEEKNUM(InputData[[#This Row],[DATE]])</f>
        <v>21</v>
      </c>
    </row>
    <row r="343" spans="1:10" x14ac:dyDescent="0.25">
      <c r="A343" s="3">
        <v>44336</v>
      </c>
      <c r="B343" s="6" t="s">
        <v>81</v>
      </c>
      <c r="C343" s="4" t="s">
        <v>44</v>
      </c>
      <c r="D343" s="5">
        <v>82.08</v>
      </c>
      <c r="E343" s="1">
        <v>15</v>
      </c>
      <c r="F343" s="1">
        <f>InputData[[#This Row],[UNIT PRICE ($)]]*InputData[[#This Row],[QUANTITY]]</f>
        <v>1231.2</v>
      </c>
      <c r="G343" s="1" t="str">
        <f>VLOOKUP(InputData[[#This Row],[CUSTOMER NAME]],Country[#All],2,0)</f>
        <v>India</v>
      </c>
      <c r="H343" s="1" t="str">
        <f>VLOOKUP(InputData[[#This Row],[CUSTOMER NAME]],Country[#All],3,0)</f>
        <v>East</v>
      </c>
      <c r="I343" s="1" t="str">
        <f>TEXT(InputData[[#This Row],[DATE]],"MMM")</f>
        <v>May</v>
      </c>
      <c r="J343" s="1">
        <f>WEEKNUM(InputData[[#This Row],[DATE]])</f>
        <v>21</v>
      </c>
    </row>
    <row r="344" spans="1:10" x14ac:dyDescent="0.25">
      <c r="A344" s="3">
        <v>44336</v>
      </c>
      <c r="B344" s="6" t="s">
        <v>86</v>
      </c>
      <c r="C344" s="4" t="s">
        <v>42</v>
      </c>
      <c r="D344" s="5">
        <v>162</v>
      </c>
      <c r="E344" s="1">
        <v>2</v>
      </c>
      <c r="F344" s="1">
        <f>InputData[[#This Row],[UNIT PRICE ($)]]*InputData[[#This Row],[QUANTITY]]</f>
        <v>324</v>
      </c>
      <c r="G344" s="1" t="str">
        <f>VLOOKUP(InputData[[#This Row],[CUSTOMER NAME]],Country[#All],2,0)</f>
        <v>India</v>
      </c>
      <c r="H344" s="1" t="str">
        <f>VLOOKUP(InputData[[#This Row],[CUSTOMER NAME]],Country[#All],3,0)</f>
        <v>South</v>
      </c>
      <c r="I344" s="1" t="str">
        <f>TEXT(InputData[[#This Row],[DATE]],"MMM")</f>
        <v>May</v>
      </c>
      <c r="J344" s="1">
        <f>WEEKNUM(InputData[[#This Row],[DATE]])</f>
        <v>21</v>
      </c>
    </row>
    <row r="345" spans="1:10" x14ac:dyDescent="0.25">
      <c r="A345" s="3">
        <v>44337</v>
      </c>
      <c r="B345" s="6" t="s">
        <v>110</v>
      </c>
      <c r="C345" s="4" t="s">
        <v>38</v>
      </c>
      <c r="D345" s="5">
        <v>79.92</v>
      </c>
      <c r="E345" s="1">
        <v>21</v>
      </c>
      <c r="F345" s="1">
        <f>InputData[[#This Row],[UNIT PRICE ($)]]*InputData[[#This Row],[QUANTITY]]</f>
        <v>1678.32</v>
      </c>
      <c r="G345" s="1" t="str">
        <f>VLOOKUP(InputData[[#This Row],[CUSTOMER NAME]],Country[#All],2,0)</f>
        <v>India</v>
      </c>
      <c r="H345" s="1" t="str">
        <f>VLOOKUP(InputData[[#This Row],[CUSTOMER NAME]],Country[#All],3,0)</f>
        <v>Western</v>
      </c>
      <c r="I345" s="1" t="str">
        <f>TEXT(InputData[[#This Row],[DATE]],"MMM")</f>
        <v>May</v>
      </c>
      <c r="J345" s="1">
        <f>WEEKNUM(InputData[[#This Row],[DATE]])</f>
        <v>21</v>
      </c>
    </row>
    <row r="346" spans="1:10" x14ac:dyDescent="0.25">
      <c r="A346" s="3">
        <v>44337</v>
      </c>
      <c r="B346" s="6" t="s">
        <v>78</v>
      </c>
      <c r="C346" s="4" t="s">
        <v>35</v>
      </c>
      <c r="D346" s="5">
        <v>6.7</v>
      </c>
      <c r="E346" s="1">
        <v>16</v>
      </c>
      <c r="F346" s="1">
        <f>InputData[[#This Row],[UNIT PRICE ($)]]*InputData[[#This Row],[QUANTITY]]</f>
        <v>107.2</v>
      </c>
      <c r="G346" s="1" t="str">
        <f>VLOOKUP(InputData[[#This Row],[CUSTOMER NAME]],Country[#All],2,0)</f>
        <v>India</v>
      </c>
      <c r="H346" s="1" t="str">
        <f>VLOOKUP(InputData[[#This Row],[CUSTOMER NAME]],Country[#All],3,0)</f>
        <v>Central</v>
      </c>
      <c r="I346" s="1" t="str">
        <f>TEXT(InputData[[#This Row],[DATE]],"MMM")</f>
        <v>May</v>
      </c>
      <c r="J346" s="1">
        <f>WEEKNUM(InputData[[#This Row],[DATE]])</f>
        <v>21</v>
      </c>
    </row>
    <row r="347" spans="1:10" x14ac:dyDescent="0.25">
      <c r="A347" s="3">
        <v>44338</v>
      </c>
      <c r="B347" s="6" t="s">
        <v>62</v>
      </c>
      <c r="C347" s="4" t="s">
        <v>15</v>
      </c>
      <c r="D347" s="5">
        <v>15.719999999999999</v>
      </c>
      <c r="E347" s="1">
        <v>12</v>
      </c>
      <c r="F347" s="1">
        <f>InputData[[#This Row],[UNIT PRICE ($)]]*InputData[[#This Row],[QUANTITY]]</f>
        <v>188.64</v>
      </c>
      <c r="G347" s="1" t="str">
        <f>VLOOKUP(InputData[[#This Row],[CUSTOMER NAME]],Country[#All],2,0)</f>
        <v>India</v>
      </c>
      <c r="H347" s="1" t="str">
        <f>VLOOKUP(InputData[[#This Row],[CUSTOMER NAME]],Country[#All],3,0)</f>
        <v>Northeast</v>
      </c>
      <c r="I347" s="1" t="str">
        <f>TEXT(InputData[[#This Row],[DATE]],"MMM")</f>
        <v>May</v>
      </c>
      <c r="J347" s="1">
        <f>WEEKNUM(InputData[[#This Row],[DATE]])</f>
        <v>21</v>
      </c>
    </row>
    <row r="348" spans="1:10" x14ac:dyDescent="0.25">
      <c r="A348" s="3">
        <v>44338</v>
      </c>
      <c r="B348" s="6" t="s">
        <v>68</v>
      </c>
      <c r="C348" s="4" t="s">
        <v>22</v>
      </c>
      <c r="D348" s="5">
        <v>141.57</v>
      </c>
      <c r="E348" s="1">
        <v>24</v>
      </c>
      <c r="F348" s="1">
        <f>InputData[[#This Row],[UNIT PRICE ($)]]*InputData[[#This Row],[QUANTITY]]</f>
        <v>3397.68</v>
      </c>
      <c r="G348" s="1" t="str">
        <f>VLOOKUP(InputData[[#This Row],[CUSTOMER NAME]],Country[#All],2,0)</f>
        <v>Russia</v>
      </c>
      <c r="H348" s="1" t="str">
        <f>VLOOKUP(InputData[[#This Row],[CUSTOMER NAME]],Country[#All],3,0)</f>
        <v>Export</v>
      </c>
      <c r="I348" s="1" t="str">
        <f>TEXT(InputData[[#This Row],[DATE]],"MMM")</f>
        <v>May</v>
      </c>
      <c r="J348" s="1">
        <f>WEEKNUM(InputData[[#This Row],[DATE]])</f>
        <v>21</v>
      </c>
    </row>
    <row r="349" spans="1:10" x14ac:dyDescent="0.25">
      <c r="A349" s="3">
        <v>44338</v>
      </c>
      <c r="B349" s="6" t="s">
        <v>78</v>
      </c>
      <c r="C349" s="4" t="s">
        <v>6</v>
      </c>
      <c r="D349" s="5">
        <v>85.5</v>
      </c>
      <c r="E349" s="1">
        <v>19</v>
      </c>
      <c r="F349" s="1">
        <f>InputData[[#This Row],[UNIT PRICE ($)]]*InputData[[#This Row],[QUANTITY]]</f>
        <v>1624.5</v>
      </c>
      <c r="G349" s="1" t="str">
        <f>VLOOKUP(InputData[[#This Row],[CUSTOMER NAME]],Country[#All],2,0)</f>
        <v>India</v>
      </c>
      <c r="H349" s="1" t="str">
        <f>VLOOKUP(InputData[[#This Row],[CUSTOMER NAME]],Country[#All],3,0)</f>
        <v>Central</v>
      </c>
      <c r="I349" s="1" t="str">
        <f>TEXT(InputData[[#This Row],[DATE]],"MMM")</f>
        <v>May</v>
      </c>
      <c r="J349" s="1">
        <f>WEEKNUM(InputData[[#This Row],[DATE]])</f>
        <v>21</v>
      </c>
    </row>
    <row r="350" spans="1:10" x14ac:dyDescent="0.25">
      <c r="A350" s="3">
        <v>44339</v>
      </c>
      <c r="B350" s="6" t="s">
        <v>77</v>
      </c>
      <c r="C350" s="4" t="s">
        <v>40</v>
      </c>
      <c r="D350" s="5">
        <v>115.2</v>
      </c>
      <c r="E350" s="1">
        <v>11</v>
      </c>
      <c r="F350" s="1">
        <f>InputData[[#This Row],[UNIT PRICE ($)]]*InputData[[#This Row],[QUANTITY]]</f>
        <v>1267.2</v>
      </c>
      <c r="G350" s="1" t="str">
        <f>VLOOKUP(InputData[[#This Row],[CUSTOMER NAME]],Country[#All],2,0)</f>
        <v>India</v>
      </c>
      <c r="H350" s="1" t="str">
        <f>VLOOKUP(InputData[[#This Row],[CUSTOMER NAME]],Country[#All],3,0)</f>
        <v>Western</v>
      </c>
      <c r="I350" s="1" t="str">
        <f>TEXT(InputData[[#This Row],[DATE]],"MMM")</f>
        <v>May</v>
      </c>
      <c r="J350" s="1">
        <f>WEEKNUM(InputData[[#This Row],[DATE]])</f>
        <v>22</v>
      </c>
    </row>
    <row r="351" spans="1:10" x14ac:dyDescent="0.25">
      <c r="A351" s="3">
        <v>44339</v>
      </c>
      <c r="B351" s="6" t="s">
        <v>87</v>
      </c>
      <c r="C351" s="4" t="s">
        <v>16</v>
      </c>
      <c r="D351" s="5">
        <v>16.64</v>
      </c>
      <c r="E351" s="1">
        <v>27</v>
      </c>
      <c r="F351" s="1">
        <f>InputData[[#This Row],[UNIT PRICE ($)]]*InputData[[#This Row],[QUANTITY]]</f>
        <v>449.28000000000003</v>
      </c>
      <c r="G351" s="1" t="str">
        <f>VLOOKUP(InputData[[#This Row],[CUSTOMER NAME]],Country[#All],2,0)</f>
        <v>France</v>
      </c>
      <c r="H351" s="1" t="str">
        <f>VLOOKUP(InputData[[#This Row],[CUSTOMER NAME]],Country[#All],3,0)</f>
        <v>Export</v>
      </c>
      <c r="I351" s="1" t="str">
        <f>TEXT(InputData[[#This Row],[DATE]],"MMM")</f>
        <v>May</v>
      </c>
      <c r="J351" s="1">
        <f>WEEKNUM(InputData[[#This Row],[DATE]])</f>
        <v>22</v>
      </c>
    </row>
    <row r="352" spans="1:10" x14ac:dyDescent="0.25">
      <c r="A352" s="3">
        <v>44340</v>
      </c>
      <c r="B352" s="6" t="s">
        <v>112</v>
      </c>
      <c r="C352" s="4" t="s">
        <v>26</v>
      </c>
      <c r="D352" s="5">
        <v>24.66</v>
      </c>
      <c r="E352" s="1">
        <v>21</v>
      </c>
      <c r="F352" s="1">
        <f>InputData[[#This Row],[UNIT PRICE ($)]]*InputData[[#This Row],[QUANTITY]]</f>
        <v>517.86</v>
      </c>
      <c r="G352" s="1" t="str">
        <f>VLOOKUP(InputData[[#This Row],[CUSTOMER NAME]],Country[#All],2,0)</f>
        <v>India</v>
      </c>
      <c r="H352" s="1" t="str">
        <f>VLOOKUP(InputData[[#This Row],[CUSTOMER NAME]],Country[#All],3,0)</f>
        <v>North</v>
      </c>
      <c r="I352" s="1" t="str">
        <f>TEXT(InputData[[#This Row],[DATE]],"MMM")</f>
        <v>May</v>
      </c>
      <c r="J352" s="1">
        <f>WEEKNUM(InputData[[#This Row],[DATE]])</f>
        <v>22</v>
      </c>
    </row>
    <row r="353" spans="1:10" x14ac:dyDescent="0.25">
      <c r="A353" s="3">
        <v>44341</v>
      </c>
      <c r="B353" s="6" t="s">
        <v>79</v>
      </c>
      <c r="C353" s="4" t="s">
        <v>2</v>
      </c>
      <c r="D353" s="5">
        <v>142.80000000000001</v>
      </c>
      <c r="E353" s="1">
        <v>7</v>
      </c>
      <c r="F353" s="1">
        <f>InputData[[#This Row],[UNIT PRICE ($)]]*InputData[[#This Row],[QUANTITY]]</f>
        <v>999.60000000000014</v>
      </c>
      <c r="G353" s="1" t="str">
        <f>VLOOKUP(InputData[[#This Row],[CUSTOMER NAME]],Country[#All],2,0)</f>
        <v>United Kingdom</v>
      </c>
      <c r="H353" s="1" t="str">
        <f>VLOOKUP(InputData[[#This Row],[CUSTOMER NAME]],Country[#All],3,0)</f>
        <v>Export</v>
      </c>
      <c r="I353" s="1" t="str">
        <f>TEXT(InputData[[#This Row],[DATE]],"MMM")</f>
        <v>May</v>
      </c>
      <c r="J353" s="1">
        <f>WEEKNUM(InputData[[#This Row],[DATE]])</f>
        <v>22</v>
      </c>
    </row>
    <row r="354" spans="1:10" x14ac:dyDescent="0.25">
      <c r="A354" s="3">
        <v>44341</v>
      </c>
      <c r="B354" s="6" t="s">
        <v>89</v>
      </c>
      <c r="C354" s="4" t="s">
        <v>18</v>
      </c>
      <c r="D354" s="5">
        <v>49.21</v>
      </c>
      <c r="E354" s="1">
        <v>37</v>
      </c>
      <c r="F354" s="1">
        <f>InputData[[#This Row],[UNIT PRICE ($)]]*InputData[[#This Row],[QUANTITY]]</f>
        <v>1820.77</v>
      </c>
      <c r="G354" s="1" t="str">
        <f>VLOOKUP(InputData[[#This Row],[CUSTOMER NAME]],Country[#All],2,0)</f>
        <v>Mexico</v>
      </c>
      <c r="H354" s="1" t="str">
        <f>VLOOKUP(InputData[[#This Row],[CUSTOMER NAME]],Country[#All],3,0)</f>
        <v>Export</v>
      </c>
      <c r="I354" s="1" t="str">
        <f>TEXT(InputData[[#This Row],[DATE]],"MMM")</f>
        <v>May</v>
      </c>
      <c r="J354" s="1">
        <f>WEEKNUM(InputData[[#This Row],[DATE]])</f>
        <v>22</v>
      </c>
    </row>
    <row r="355" spans="1:10" x14ac:dyDescent="0.25">
      <c r="A355" s="3">
        <v>44342</v>
      </c>
      <c r="B355" s="6" t="s">
        <v>62</v>
      </c>
      <c r="C355" s="4" t="s">
        <v>27</v>
      </c>
      <c r="D355" s="5">
        <v>57.120000000000005</v>
      </c>
      <c r="E355" s="1">
        <v>2</v>
      </c>
      <c r="F355" s="1">
        <f>InputData[[#This Row],[UNIT PRICE ($)]]*InputData[[#This Row],[QUANTITY]]</f>
        <v>114.24000000000001</v>
      </c>
      <c r="G355" s="1" t="str">
        <f>VLOOKUP(InputData[[#This Row],[CUSTOMER NAME]],Country[#All],2,0)</f>
        <v>India</v>
      </c>
      <c r="H355" s="1" t="str">
        <f>VLOOKUP(InputData[[#This Row],[CUSTOMER NAME]],Country[#All],3,0)</f>
        <v>Northeast</v>
      </c>
      <c r="I355" s="1" t="str">
        <f>TEXT(InputData[[#This Row],[DATE]],"MMM")</f>
        <v>May</v>
      </c>
      <c r="J355" s="1">
        <f>WEEKNUM(InputData[[#This Row],[DATE]])</f>
        <v>22</v>
      </c>
    </row>
    <row r="356" spans="1:10" x14ac:dyDescent="0.25">
      <c r="A356" s="3">
        <v>44342</v>
      </c>
      <c r="B356" s="6" t="s">
        <v>64</v>
      </c>
      <c r="C356" s="4" t="s">
        <v>28</v>
      </c>
      <c r="D356" s="5">
        <v>41.81</v>
      </c>
      <c r="E356" s="1">
        <v>2</v>
      </c>
      <c r="F356" s="1">
        <f>InputData[[#This Row],[UNIT PRICE ($)]]*InputData[[#This Row],[QUANTITY]]</f>
        <v>83.62</v>
      </c>
      <c r="G356" s="1" t="str">
        <f>VLOOKUP(InputData[[#This Row],[CUSTOMER NAME]],Country[#All],2,0)</f>
        <v>India</v>
      </c>
      <c r="H356" s="1" t="str">
        <f>VLOOKUP(InputData[[#This Row],[CUSTOMER NAME]],Country[#All],3,0)</f>
        <v>Northeast</v>
      </c>
      <c r="I356" s="1" t="str">
        <f>TEXT(InputData[[#This Row],[DATE]],"MMM")</f>
        <v>May</v>
      </c>
      <c r="J356" s="1">
        <f>WEEKNUM(InputData[[#This Row],[DATE]])</f>
        <v>22</v>
      </c>
    </row>
    <row r="357" spans="1:10" x14ac:dyDescent="0.25">
      <c r="A357" s="3">
        <v>44342</v>
      </c>
      <c r="B357" s="6" t="s">
        <v>73</v>
      </c>
      <c r="C357" s="4" t="s">
        <v>6</v>
      </c>
      <c r="D357" s="5">
        <v>85.5</v>
      </c>
      <c r="E357" s="1">
        <v>1</v>
      </c>
      <c r="F357" s="1">
        <f>InputData[[#This Row],[UNIT PRICE ($)]]*InputData[[#This Row],[QUANTITY]]</f>
        <v>85.5</v>
      </c>
      <c r="G357" s="1" t="str">
        <f>VLOOKUP(InputData[[#This Row],[CUSTOMER NAME]],Country[#All],2,0)</f>
        <v>India</v>
      </c>
      <c r="H357" s="1" t="str">
        <f>VLOOKUP(InputData[[#This Row],[CUSTOMER NAME]],Country[#All],3,0)</f>
        <v>East</v>
      </c>
      <c r="I357" s="1" t="str">
        <f>TEXT(InputData[[#This Row],[DATE]],"MMM")</f>
        <v>May</v>
      </c>
      <c r="J357" s="1">
        <f>WEEKNUM(InputData[[#This Row],[DATE]])</f>
        <v>22</v>
      </c>
    </row>
    <row r="358" spans="1:10" x14ac:dyDescent="0.25">
      <c r="A358" s="3">
        <v>44344</v>
      </c>
      <c r="B358" s="6" t="s">
        <v>62</v>
      </c>
      <c r="C358" s="4" t="s">
        <v>20</v>
      </c>
      <c r="D358" s="5">
        <v>76.25</v>
      </c>
      <c r="E358" s="1">
        <v>14</v>
      </c>
      <c r="F358" s="1">
        <f>InputData[[#This Row],[UNIT PRICE ($)]]*InputData[[#This Row],[QUANTITY]]</f>
        <v>1067.5</v>
      </c>
      <c r="G358" s="1" t="str">
        <f>VLOOKUP(InputData[[#This Row],[CUSTOMER NAME]],Country[#All],2,0)</f>
        <v>India</v>
      </c>
      <c r="H358" s="1" t="str">
        <f>VLOOKUP(InputData[[#This Row],[CUSTOMER NAME]],Country[#All],3,0)</f>
        <v>Northeast</v>
      </c>
      <c r="I358" s="1" t="str">
        <f>TEXT(InputData[[#This Row],[DATE]],"MMM")</f>
        <v>May</v>
      </c>
      <c r="J358" s="1">
        <f>WEEKNUM(InputData[[#This Row],[DATE]])</f>
        <v>22</v>
      </c>
    </row>
    <row r="359" spans="1:10" x14ac:dyDescent="0.25">
      <c r="A359" s="3">
        <v>44344</v>
      </c>
      <c r="B359" s="6" t="s">
        <v>67</v>
      </c>
      <c r="C359" s="4" t="s">
        <v>29</v>
      </c>
      <c r="D359" s="5">
        <v>53.11</v>
      </c>
      <c r="E359" s="1">
        <v>4</v>
      </c>
      <c r="F359" s="1">
        <f>InputData[[#This Row],[UNIT PRICE ($)]]*InputData[[#This Row],[QUANTITY]]</f>
        <v>212.44</v>
      </c>
      <c r="G359" s="1" t="str">
        <f>VLOOKUP(InputData[[#This Row],[CUSTOMER NAME]],Country[#All],2,0)</f>
        <v>United Kingdom</v>
      </c>
      <c r="H359" s="1" t="str">
        <f>VLOOKUP(InputData[[#This Row],[CUSTOMER NAME]],Country[#All],3,0)</f>
        <v>Export</v>
      </c>
      <c r="I359" s="1" t="str">
        <f>TEXT(InputData[[#This Row],[DATE]],"MMM")</f>
        <v>May</v>
      </c>
      <c r="J359" s="1">
        <f>WEEKNUM(InputData[[#This Row],[DATE]])</f>
        <v>22</v>
      </c>
    </row>
    <row r="360" spans="1:10" x14ac:dyDescent="0.25">
      <c r="A360" s="3">
        <v>44344</v>
      </c>
      <c r="B360" s="6" t="s">
        <v>67</v>
      </c>
      <c r="C360" s="4" t="s">
        <v>10</v>
      </c>
      <c r="D360" s="5">
        <v>164.28</v>
      </c>
      <c r="E360" s="1">
        <v>9</v>
      </c>
      <c r="F360" s="1">
        <f>InputData[[#This Row],[UNIT PRICE ($)]]*InputData[[#This Row],[QUANTITY]]</f>
        <v>1478.52</v>
      </c>
      <c r="G360" s="1" t="str">
        <f>VLOOKUP(InputData[[#This Row],[CUSTOMER NAME]],Country[#All],2,0)</f>
        <v>United Kingdom</v>
      </c>
      <c r="H360" s="1" t="str">
        <f>VLOOKUP(InputData[[#This Row],[CUSTOMER NAME]],Country[#All],3,0)</f>
        <v>Export</v>
      </c>
      <c r="I360" s="1" t="str">
        <f>TEXT(InputData[[#This Row],[DATE]],"MMM")</f>
        <v>May</v>
      </c>
      <c r="J360" s="1">
        <f>WEEKNUM(InputData[[#This Row],[DATE]])</f>
        <v>22</v>
      </c>
    </row>
    <row r="361" spans="1:10" x14ac:dyDescent="0.25">
      <c r="A361" s="3">
        <v>44344</v>
      </c>
      <c r="B361" s="6" t="s">
        <v>68</v>
      </c>
      <c r="C361" s="4" t="s">
        <v>4</v>
      </c>
      <c r="D361" s="5">
        <v>48.84</v>
      </c>
      <c r="E361" s="1">
        <v>12</v>
      </c>
      <c r="F361" s="1">
        <f>InputData[[#This Row],[UNIT PRICE ($)]]*InputData[[#This Row],[QUANTITY]]</f>
        <v>586.08000000000004</v>
      </c>
      <c r="G361" s="1" t="str">
        <f>VLOOKUP(InputData[[#This Row],[CUSTOMER NAME]],Country[#All],2,0)</f>
        <v>Russia</v>
      </c>
      <c r="H361" s="1" t="str">
        <f>VLOOKUP(InputData[[#This Row],[CUSTOMER NAME]],Country[#All],3,0)</f>
        <v>Export</v>
      </c>
      <c r="I361" s="1" t="str">
        <f>TEXT(InputData[[#This Row],[DATE]],"MMM")</f>
        <v>May</v>
      </c>
      <c r="J361" s="1">
        <f>WEEKNUM(InputData[[#This Row],[DATE]])</f>
        <v>22</v>
      </c>
    </row>
    <row r="362" spans="1:10" x14ac:dyDescent="0.25">
      <c r="A362" s="3">
        <v>44344</v>
      </c>
      <c r="B362" s="6" t="s">
        <v>86</v>
      </c>
      <c r="C362" s="4" t="s">
        <v>8</v>
      </c>
      <c r="D362" s="5">
        <v>94.62</v>
      </c>
      <c r="E362" s="1">
        <v>5</v>
      </c>
      <c r="F362" s="1">
        <f>InputData[[#This Row],[UNIT PRICE ($)]]*InputData[[#This Row],[QUANTITY]]</f>
        <v>473.1</v>
      </c>
      <c r="G362" s="1" t="str">
        <f>VLOOKUP(InputData[[#This Row],[CUSTOMER NAME]],Country[#All],2,0)</f>
        <v>India</v>
      </c>
      <c r="H362" s="1" t="str">
        <f>VLOOKUP(InputData[[#This Row],[CUSTOMER NAME]],Country[#All],3,0)</f>
        <v>South</v>
      </c>
      <c r="I362" s="1" t="str">
        <f>TEXT(InputData[[#This Row],[DATE]],"MMM")</f>
        <v>May</v>
      </c>
      <c r="J362" s="1">
        <f>WEEKNUM(InputData[[#This Row],[DATE]])</f>
        <v>22</v>
      </c>
    </row>
    <row r="363" spans="1:10" x14ac:dyDescent="0.25">
      <c r="A363" s="3">
        <v>44344</v>
      </c>
      <c r="B363" s="6" t="s">
        <v>89</v>
      </c>
      <c r="C363" s="4" t="s">
        <v>41</v>
      </c>
      <c r="D363" s="5">
        <v>173.88</v>
      </c>
      <c r="E363" s="1">
        <v>10</v>
      </c>
      <c r="F363" s="1">
        <f>InputData[[#This Row],[UNIT PRICE ($)]]*InputData[[#This Row],[QUANTITY]]</f>
        <v>1738.8</v>
      </c>
      <c r="G363" s="1" t="str">
        <f>VLOOKUP(InputData[[#This Row],[CUSTOMER NAME]],Country[#All],2,0)</f>
        <v>Mexico</v>
      </c>
      <c r="H363" s="1" t="str">
        <f>VLOOKUP(InputData[[#This Row],[CUSTOMER NAME]],Country[#All],3,0)</f>
        <v>Export</v>
      </c>
      <c r="I363" s="1" t="str">
        <f>TEXT(InputData[[#This Row],[DATE]],"MMM")</f>
        <v>May</v>
      </c>
      <c r="J363" s="1">
        <f>WEEKNUM(InputData[[#This Row],[DATE]])</f>
        <v>22</v>
      </c>
    </row>
    <row r="364" spans="1:10" x14ac:dyDescent="0.25">
      <c r="A364" s="3">
        <v>44344</v>
      </c>
      <c r="B364" s="6" t="s">
        <v>89</v>
      </c>
      <c r="C364" s="4" t="s">
        <v>39</v>
      </c>
      <c r="D364" s="5">
        <v>42.55</v>
      </c>
      <c r="E364" s="1">
        <v>17</v>
      </c>
      <c r="F364" s="1">
        <f>InputData[[#This Row],[UNIT PRICE ($)]]*InputData[[#This Row],[QUANTITY]]</f>
        <v>723.34999999999991</v>
      </c>
      <c r="G364" s="1" t="str">
        <f>VLOOKUP(InputData[[#This Row],[CUSTOMER NAME]],Country[#All],2,0)</f>
        <v>Mexico</v>
      </c>
      <c r="H364" s="1" t="str">
        <f>VLOOKUP(InputData[[#This Row],[CUSTOMER NAME]],Country[#All],3,0)</f>
        <v>Export</v>
      </c>
      <c r="I364" s="1" t="str">
        <f>TEXT(InputData[[#This Row],[DATE]],"MMM")</f>
        <v>May</v>
      </c>
      <c r="J364" s="1">
        <f>WEEKNUM(InputData[[#This Row],[DATE]])</f>
        <v>22</v>
      </c>
    </row>
    <row r="365" spans="1:10" x14ac:dyDescent="0.25">
      <c r="A365" s="3">
        <v>44346</v>
      </c>
      <c r="B365" s="6" t="s">
        <v>65</v>
      </c>
      <c r="C365" s="4" t="s">
        <v>5</v>
      </c>
      <c r="D365" s="5">
        <v>155.61000000000001</v>
      </c>
      <c r="E365" s="1">
        <v>4</v>
      </c>
      <c r="F365" s="1">
        <f>InputData[[#This Row],[UNIT PRICE ($)]]*InputData[[#This Row],[QUANTITY]]</f>
        <v>622.44000000000005</v>
      </c>
      <c r="G365" s="1" t="str">
        <f>VLOOKUP(InputData[[#This Row],[CUSTOMER NAME]],Country[#All],2,0)</f>
        <v>Pakistan</v>
      </c>
      <c r="H365" s="1" t="str">
        <f>VLOOKUP(InputData[[#This Row],[CUSTOMER NAME]],Country[#All],3,0)</f>
        <v>Export</v>
      </c>
      <c r="I365" s="1" t="str">
        <f>TEXT(InputData[[#This Row],[DATE]],"MMM")</f>
        <v>May</v>
      </c>
      <c r="J365" s="1">
        <f>WEEKNUM(InputData[[#This Row],[DATE]])</f>
        <v>23</v>
      </c>
    </row>
    <row r="366" spans="1:10" x14ac:dyDescent="0.25">
      <c r="A366" s="3">
        <v>44346</v>
      </c>
      <c r="B366" s="6" t="s">
        <v>112</v>
      </c>
      <c r="C366" s="4" t="s">
        <v>23</v>
      </c>
      <c r="D366" s="5">
        <v>149.46</v>
      </c>
      <c r="E366" s="1">
        <v>13</v>
      </c>
      <c r="F366" s="1">
        <f>InputData[[#This Row],[UNIT PRICE ($)]]*InputData[[#This Row],[QUANTITY]]</f>
        <v>1942.98</v>
      </c>
      <c r="G366" s="1" t="str">
        <f>VLOOKUP(InputData[[#This Row],[CUSTOMER NAME]],Country[#All],2,0)</f>
        <v>India</v>
      </c>
      <c r="H366" s="1" t="str">
        <f>VLOOKUP(InputData[[#This Row],[CUSTOMER NAME]],Country[#All],3,0)</f>
        <v>North</v>
      </c>
      <c r="I366" s="1" t="str">
        <f>TEXT(InputData[[#This Row],[DATE]],"MMM")</f>
        <v>May</v>
      </c>
      <c r="J366" s="1">
        <f>WEEKNUM(InputData[[#This Row],[DATE]])</f>
        <v>23</v>
      </c>
    </row>
    <row r="367" spans="1:10" x14ac:dyDescent="0.25">
      <c r="A367" s="3">
        <v>44346</v>
      </c>
      <c r="B367" s="6" t="s">
        <v>79</v>
      </c>
      <c r="C367" s="4" t="s">
        <v>4</v>
      </c>
      <c r="D367" s="5">
        <v>48.84</v>
      </c>
      <c r="E367" s="1">
        <v>23</v>
      </c>
      <c r="F367" s="1">
        <f>InputData[[#This Row],[UNIT PRICE ($)]]*InputData[[#This Row],[QUANTITY]]</f>
        <v>1123.3200000000002</v>
      </c>
      <c r="G367" s="1" t="str">
        <f>VLOOKUP(InputData[[#This Row],[CUSTOMER NAME]],Country[#All],2,0)</f>
        <v>United Kingdom</v>
      </c>
      <c r="H367" s="1" t="str">
        <f>VLOOKUP(InputData[[#This Row],[CUSTOMER NAME]],Country[#All],3,0)</f>
        <v>Export</v>
      </c>
      <c r="I367" s="1" t="str">
        <f>TEXT(InputData[[#This Row],[DATE]],"MMM")</f>
        <v>May</v>
      </c>
      <c r="J367" s="1">
        <f>WEEKNUM(InputData[[#This Row],[DATE]])</f>
        <v>23</v>
      </c>
    </row>
    <row r="368" spans="1:10" x14ac:dyDescent="0.25">
      <c r="A368" s="3">
        <v>44346</v>
      </c>
      <c r="B368" s="6" t="s">
        <v>81</v>
      </c>
      <c r="C368" s="4" t="s">
        <v>13</v>
      </c>
      <c r="D368" s="5">
        <v>122.08</v>
      </c>
      <c r="E368" s="1">
        <v>6</v>
      </c>
      <c r="F368" s="1">
        <f>InputData[[#This Row],[UNIT PRICE ($)]]*InputData[[#This Row],[QUANTITY]]</f>
        <v>732.48</v>
      </c>
      <c r="G368" s="1" t="str">
        <f>VLOOKUP(InputData[[#This Row],[CUSTOMER NAME]],Country[#All],2,0)</f>
        <v>India</v>
      </c>
      <c r="H368" s="1" t="str">
        <f>VLOOKUP(InputData[[#This Row],[CUSTOMER NAME]],Country[#All],3,0)</f>
        <v>East</v>
      </c>
      <c r="I368" s="1" t="str">
        <f>TEXT(InputData[[#This Row],[DATE]],"MMM")</f>
        <v>May</v>
      </c>
      <c r="J368" s="1">
        <f>WEEKNUM(InputData[[#This Row],[DATE]])</f>
        <v>23</v>
      </c>
    </row>
    <row r="369" spans="1:10" x14ac:dyDescent="0.25">
      <c r="A369" s="3">
        <v>44346</v>
      </c>
      <c r="B369" s="6" t="s">
        <v>86</v>
      </c>
      <c r="C369" s="4" t="s">
        <v>44</v>
      </c>
      <c r="D369" s="5">
        <v>82.08</v>
      </c>
      <c r="E369" s="1">
        <v>9</v>
      </c>
      <c r="F369" s="1">
        <f>InputData[[#This Row],[UNIT PRICE ($)]]*InputData[[#This Row],[QUANTITY]]</f>
        <v>738.72</v>
      </c>
      <c r="G369" s="1" t="str">
        <f>VLOOKUP(InputData[[#This Row],[CUSTOMER NAME]],Country[#All],2,0)</f>
        <v>India</v>
      </c>
      <c r="H369" s="1" t="str">
        <f>VLOOKUP(InputData[[#This Row],[CUSTOMER NAME]],Country[#All],3,0)</f>
        <v>South</v>
      </c>
      <c r="I369" s="1" t="str">
        <f>TEXT(InputData[[#This Row],[DATE]],"MMM")</f>
        <v>May</v>
      </c>
      <c r="J369" s="1">
        <f>WEEKNUM(InputData[[#This Row],[DATE]])</f>
        <v>23</v>
      </c>
    </row>
    <row r="370" spans="1:10" x14ac:dyDescent="0.25">
      <c r="A370" s="3">
        <v>44346</v>
      </c>
      <c r="B370" s="6" t="s">
        <v>87</v>
      </c>
      <c r="C370" s="4" t="s">
        <v>33</v>
      </c>
      <c r="D370" s="5">
        <v>119.7</v>
      </c>
      <c r="E370" s="1">
        <v>3</v>
      </c>
      <c r="F370" s="1">
        <f>InputData[[#This Row],[UNIT PRICE ($)]]*InputData[[#This Row],[QUANTITY]]</f>
        <v>359.1</v>
      </c>
      <c r="G370" s="1" t="str">
        <f>VLOOKUP(InputData[[#This Row],[CUSTOMER NAME]],Country[#All],2,0)</f>
        <v>France</v>
      </c>
      <c r="H370" s="1" t="str">
        <f>VLOOKUP(InputData[[#This Row],[CUSTOMER NAME]],Country[#All],3,0)</f>
        <v>Export</v>
      </c>
      <c r="I370" s="1" t="str">
        <f>TEXT(InputData[[#This Row],[DATE]],"MMM")</f>
        <v>May</v>
      </c>
      <c r="J370" s="1">
        <f>WEEKNUM(InputData[[#This Row],[DATE]])</f>
        <v>23</v>
      </c>
    </row>
    <row r="371" spans="1:10" x14ac:dyDescent="0.25">
      <c r="A371" s="3">
        <v>44349</v>
      </c>
      <c r="B371" s="6" t="s">
        <v>64</v>
      </c>
      <c r="C371" s="4" t="s">
        <v>27</v>
      </c>
      <c r="D371" s="5">
        <v>57.120000000000005</v>
      </c>
      <c r="E371" s="1">
        <v>15</v>
      </c>
      <c r="F371" s="1">
        <f>InputData[[#This Row],[UNIT PRICE ($)]]*InputData[[#This Row],[QUANTITY]]</f>
        <v>856.80000000000007</v>
      </c>
      <c r="G371" s="1" t="str">
        <f>VLOOKUP(InputData[[#This Row],[CUSTOMER NAME]],Country[#All],2,0)</f>
        <v>India</v>
      </c>
      <c r="H371" s="1" t="str">
        <f>VLOOKUP(InputData[[#This Row],[CUSTOMER NAME]],Country[#All],3,0)</f>
        <v>Northeast</v>
      </c>
      <c r="I371" s="1" t="str">
        <f>TEXT(InputData[[#This Row],[DATE]],"MMM")</f>
        <v>Jun</v>
      </c>
      <c r="J371" s="1">
        <f>WEEKNUM(InputData[[#This Row],[DATE]])</f>
        <v>23</v>
      </c>
    </row>
    <row r="372" spans="1:10" x14ac:dyDescent="0.25">
      <c r="A372" s="3">
        <v>44350</v>
      </c>
      <c r="B372" s="6" t="s">
        <v>67</v>
      </c>
      <c r="C372" s="4" t="s">
        <v>39</v>
      </c>
      <c r="D372" s="5">
        <v>42.55</v>
      </c>
      <c r="E372" s="1">
        <v>32</v>
      </c>
      <c r="F372" s="1">
        <f>InputData[[#This Row],[UNIT PRICE ($)]]*InputData[[#This Row],[QUANTITY]]</f>
        <v>1361.6</v>
      </c>
      <c r="G372" s="1" t="str">
        <f>VLOOKUP(InputData[[#This Row],[CUSTOMER NAME]],Country[#All],2,0)</f>
        <v>United Kingdom</v>
      </c>
      <c r="H372" s="1" t="str">
        <f>VLOOKUP(InputData[[#This Row],[CUSTOMER NAME]],Country[#All],3,0)</f>
        <v>Export</v>
      </c>
      <c r="I372" s="1" t="str">
        <f>TEXT(InputData[[#This Row],[DATE]],"MMM")</f>
        <v>Jun</v>
      </c>
      <c r="J372" s="1">
        <f>WEEKNUM(InputData[[#This Row],[DATE]])</f>
        <v>23</v>
      </c>
    </row>
    <row r="373" spans="1:10" x14ac:dyDescent="0.25">
      <c r="A373" s="3">
        <v>44350</v>
      </c>
      <c r="B373" s="6" t="s">
        <v>74</v>
      </c>
      <c r="C373" s="4" t="s">
        <v>8</v>
      </c>
      <c r="D373" s="5">
        <v>94.62</v>
      </c>
      <c r="E373" s="1">
        <v>14</v>
      </c>
      <c r="F373" s="1">
        <f>InputData[[#This Row],[UNIT PRICE ($)]]*InputData[[#This Row],[QUANTITY]]</f>
        <v>1324.68</v>
      </c>
      <c r="G373" s="1" t="str">
        <f>VLOOKUP(InputData[[#This Row],[CUSTOMER NAME]],Country[#All],2,0)</f>
        <v>Brazil</v>
      </c>
      <c r="H373" s="1" t="str">
        <f>VLOOKUP(InputData[[#This Row],[CUSTOMER NAME]],Country[#All],3,0)</f>
        <v>Export</v>
      </c>
      <c r="I373" s="1" t="str">
        <f>TEXT(InputData[[#This Row],[DATE]],"MMM")</f>
        <v>Jun</v>
      </c>
      <c r="J373" s="1">
        <f>WEEKNUM(InputData[[#This Row],[DATE]])</f>
        <v>23</v>
      </c>
    </row>
    <row r="374" spans="1:10" x14ac:dyDescent="0.25">
      <c r="A374" s="3">
        <v>44350</v>
      </c>
      <c r="B374" s="6" t="s">
        <v>79</v>
      </c>
      <c r="C374" s="4" t="s">
        <v>21</v>
      </c>
      <c r="D374" s="5">
        <v>162.54</v>
      </c>
      <c r="E374" s="1">
        <v>10</v>
      </c>
      <c r="F374" s="1">
        <f>InputData[[#This Row],[UNIT PRICE ($)]]*InputData[[#This Row],[QUANTITY]]</f>
        <v>1625.3999999999999</v>
      </c>
      <c r="G374" s="1" t="str">
        <f>VLOOKUP(InputData[[#This Row],[CUSTOMER NAME]],Country[#All],2,0)</f>
        <v>United Kingdom</v>
      </c>
      <c r="H374" s="1" t="str">
        <f>VLOOKUP(InputData[[#This Row],[CUSTOMER NAME]],Country[#All],3,0)</f>
        <v>Export</v>
      </c>
      <c r="I374" s="1" t="str">
        <f>TEXT(InputData[[#This Row],[DATE]],"MMM")</f>
        <v>Jun</v>
      </c>
      <c r="J374" s="1">
        <f>WEEKNUM(InputData[[#This Row],[DATE]])</f>
        <v>23</v>
      </c>
    </row>
    <row r="375" spans="1:10" x14ac:dyDescent="0.25">
      <c r="A375" s="3">
        <v>44351</v>
      </c>
      <c r="B375" s="6" t="s">
        <v>65</v>
      </c>
      <c r="C375" s="4" t="s">
        <v>20</v>
      </c>
      <c r="D375" s="5">
        <v>76.25</v>
      </c>
      <c r="E375" s="1">
        <v>8</v>
      </c>
      <c r="F375" s="1">
        <f>InputData[[#This Row],[UNIT PRICE ($)]]*InputData[[#This Row],[QUANTITY]]</f>
        <v>610</v>
      </c>
      <c r="G375" s="1" t="str">
        <f>VLOOKUP(InputData[[#This Row],[CUSTOMER NAME]],Country[#All],2,0)</f>
        <v>Pakistan</v>
      </c>
      <c r="H375" s="1" t="str">
        <f>VLOOKUP(InputData[[#This Row],[CUSTOMER NAME]],Country[#All],3,0)</f>
        <v>Export</v>
      </c>
      <c r="I375" s="1" t="str">
        <f>TEXT(InputData[[#This Row],[DATE]],"MMM")</f>
        <v>Jun</v>
      </c>
      <c r="J375" s="1">
        <f>WEEKNUM(InputData[[#This Row],[DATE]])</f>
        <v>23</v>
      </c>
    </row>
    <row r="376" spans="1:10" x14ac:dyDescent="0.25">
      <c r="A376" s="3">
        <v>44351</v>
      </c>
      <c r="B376" s="6" t="s">
        <v>70</v>
      </c>
      <c r="C376" s="4" t="s">
        <v>20</v>
      </c>
      <c r="D376" s="5">
        <v>76.25</v>
      </c>
      <c r="E376" s="1">
        <v>12</v>
      </c>
      <c r="F376" s="1">
        <f>InputData[[#This Row],[UNIT PRICE ($)]]*InputData[[#This Row],[QUANTITY]]</f>
        <v>915</v>
      </c>
      <c r="G376" s="1" t="str">
        <f>VLOOKUP(InputData[[#This Row],[CUSTOMER NAME]],Country[#All],2,0)</f>
        <v>Mexico</v>
      </c>
      <c r="H376" s="1" t="str">
        <f>VLOOKUP(InputData[[#This Row],[CUSTOMER NAME]],Country[#All],3,0)</f>
        <v>Export</v>
      </c>
      <c r="I376" s="1" t="str">
        <f>TEXT(InputData[[#This Row],[DATE]],"MMM")</f>
        <v>Jun</v>
      </c>
      <c r="J376" s="1">
        <f>WEEKNUM(InputData[[#This Row],[DATE]])</f>
        <v>23</v>
      </c>
    </row>
    <row r="377" spans="1:10" x14ac:dyDescent="0.25">
      <c r="A377" s="3">
        <v>44351</v>
      </c>
      <c r="B377" s="6" t="s">
        <v>76</v>
      </c>
      <c r="C377" s="4" t="s">
        <v>16</v>
      </c>
      <c r="D377" s="5">
        <v>16.64</v>
      </c>
      <c r="E377" s="1">
        <v>30</v>
      </c>
      <c r="F377" s="1">
        <f>InputData[[#This Row],[UNIT PRICE ($)]]*InputData[[#This Row],[QUANTITY]]</f>
        <v>499.20000000000005</v>
      </c>
      <c r="G377" s="1" t="str">
        <f>VLOOKUP(InputData[[#This Row],[CUSTOMER NAME]],Country[#All],2,0)</f>
        <v>Saudi Arabia</v>
      </c>
      <c r="H377" s="1" t="str">
        <f>VLOOKUP(InputData[[#This Row],[CUSTOMER NAME]],Country[#All],3,0)</f>
        <v>Export</v>
      </c>
      <c r="I377" s="1" t="str">
        <f>TEXT(InputData[[#This Row],[DATE]],"MMM")</f>
        <v>Jun</v>
      </c>
      <c r="J377" s="1">
        <f>WEEKNUM(InputData[[#This Row],[DATE]])</f>
        <v>23</v>
      </c>
    </row>
    <row r="378" spans="1:10" x14ac:dyDescent="0.25">
      <c r="A378" s="3">
        <v>44352</v>
      </c>
      <c r="B378" s="6" t="s">
        <v>67</v>
      </c>
      <c r="C378" s="4" t="s">
        <v>22</v>
      </c>
      <c r="D378" s="5">
        <v>141.57</v>
      </c>
      <c r="E378" s="1">
        <v>15</v>
      </c>
      <c r="F378" s="1">
        <f>InputData[[#This Row],[UNIT PRICE ($)]]*InputData[[#This Row],[QUANTITY]]</f>
        <v>2123.5499999999997</v>
      </c>
      <c r="G378" s="1" t="str">
        <f>VLOOKUP(InputData[[#This Row],[CUSTOMER NAME]],Country[#All],2,0)</f>
        <v>United Kingdom</v>
      </c>
      <c r="H378" s="1" t="str">
        <f>VLOOKUP(InputData[[#This Row],[CUSTOMER NAME]],Country[#All],3,0)</f>
        <v>Export</v>
      </c>
      <c r="I378" s="1" t="str">
        <f>TEXT(InputData[[#This Row],[DATE]],"MMM")</f>
        <v>Jun</v>
      </c>
      <c r="J378" s="1">
        <f>WEEKNUM(InputData[[#This Row],[DATE]])</f>
        <v>23</v>
      </c>
    </row>
    <row r="379" spans="1:10" x14ac:dyDescent="0.25">
      <c r="A379" s="3">
        <v>44352</v>
      </c>
      <c r="B379" s="6" t="s">
        <v>67</v>
      </c>
      <c r="C379" s="4" t="s">
        <v>12</v>
      </c>
      <c r="D379" s="5">
        <v>94.17</v>
      </c>
      <c r="E379" s="1">
        <v>5</v>
      </c>
      <c r="F379" s="1">
        <f>InputData[[#This Row],[UNIT PRICE ($)]]*InputData[[#This Row],[QUANTITY]]</f>
        <v>470.85</v>
      </c>
      <c r="G379" s="1" t="str">
        <f>VLOOKUP(InputData[[#This Row],[CUSTOMER NAME]],Country[#All],2,0)</f>
        <v>United Kingdom</v>
      </c>
      <c r="H379" s="1" t="str">
        <f>VLOOKUP(InputData[[#This Row],[CUSTOMER NAME]],Country[#All],3,0)</f>
        <v>Export</v>
      </c>
      <c r="I379" s="1" t="str">
        <f>TEXT(InputData[[#This Row],[DATE]],"MMM")</f>
        <v>Jun</v>
      </c>
      <c r="J379" s="1">
        <f>WEEKNUM(InputData[[#This Row],[DATE]])</f>
        <v>23</v>
      </c>
    </row>
    <row r="380" spans="1:10" x14ac:dyDescent="0.25">
      <c r="A380" s="3">
        <v>44352</v>
      </c>
      <c r="B380" s="6" t="s">
        <v>75</v>
      </c>
      <c r="C380" s="4" t="s">
        <v>3</v>
      </c>
      <c r="D380" s="5">
        <v>80.94</v>
      </c>
      <c r="E380" s="1">
        <v>17</v>
      </c>
      <c r="F380" s="1">
        <f>InputData[[#This Row],[UNIT PRICE ($)]]*InputData[[#This Row],[QUANTITY]]</f>
        <v>1375.98</v>
      </c>
      <c r="G380" s="1" t="str">
        <f>VLOOKUP(InputData[[#This Row],[CUSTOMER NAME]],Country[#All],2,0)</f>
        <v>Russia</v>
      </c>
      <c r="H380" s="1" t="str">
        <f>VLOOKUP(InputData[[#This Row],[CUSTOMER NAME]],Country[#All],3,0)</f>
        <v>Export</v>
      </c>
      <c r="I380" s="1" t="str">
        <f>TEXT(InputData[[#This Row],[DATE]],"MMM")</f>
        <v>Jun</v>
      </c>
      <c r="J380" s="1">
        <f>WEEKNUM(InputData[[#This Row],[DATE]])</f>
        <v>23</v>
      </c>
    </row>
    <row r="381" spans="1:10" x14ac:dyDescent="0.25">
      <c r="A381" s="3">
        <v>44352</v>
      </c>
      <c r="B381" s="6" t="s">
        <v>79</v>
      </c>
      <c r="C381" s="4" t="s">
        <v>9</v>
      </c>
      <c r="D381" s="5">
        <v>7.8599999999999994</v>
      </c>
      <c r="E381" s="1">
        <v>32</v>
      </c>
      <c r="F381" s="1">
        <f>InputData[[#This Row],[UNIT PRICE ($)]]*InputData[[#This Row],[QUANTITY]]</f>
        <v>251.51999999999998</v>
      </c>
      <c r="G381" s="1" t="str">
        <f>VLOOKUP(InputData[[#This Row],[CUSTOMER NAME]],Country[#All],2,0)</f>
        <v>United Kingdom</v>
      </c>
      <c r="H381" s="1" t="str">
        <f>VLOOKUP(InputData[[#This Row],[CUSTOMER NAME]],Country[#All],3,0)</f>
        <v>Export</v>
      </c>
      <c r="I381" s="1" t="str">
        <f>TEXT(InputData[[#This Row],[DATE]],"MMM")</f>
        <v>Jun</v>
      </c>
      <c r="J381" s="1">
        <f>WEEKNUM(InputData[[#This Row],[DATE]])</f>
        <v>23</v>
      </c>
    </row>
    <row r="382" spans="1:10" x14ac:dyDescent="0.25">
      <c r="A382" s="3">
        <v>44352</v>
      </c>
      <c r="B382" s="6" t="s">
        <v>89</v>
      </c>
      <c r="C382" s="4" t="s">
        <v>35</v>
      </c>
      <c r="D382" s="5">
        <v>6.7</v>
      </c>
      <c r="E382" s="1">
        <v>10</v>
      </c>
      <c r="F382" s="1">
        <f>InputData[[#This Row],[UNIT PRICE ($)]]*InputData[[#This Row],[QUANTITY]]</f>
        <v>67</v>
      </c>
      <c r="G382" s="1" t="str">
        <f>VLOOKUP(InputData[[#This Row],[CUSTOMER NAME]],Country[#All],2,0)</f>
        <v>Mexico</v>
      </c>
      <c r="H382" s="1" t="str">
        <f>VLOOKUP(InputData[[#This Row],[CUSTOMER NAME]],Country[#All],3,0)</f>
        <v>Export</v>
      </c>
      <c r="I382" s="1" t="str">
        <f>TEXT(InputData[[#This Row],[DATE]],"MMM")</f>
        <v>Jun</v>
      </c>
      <c r="J382" s="1">
        <f>WEEKNUM(InputData[[#This Row],[DATE]])</f>
        <v>23</v>
      </c>
    </row>
    <row r="383" spans="1:10" x14ac:dyDescent="0.25">
      <c r="A383" s="3">
        <v>44353</v>
      </c>
      <c r="B383" s="6" t="s">
        <v>76</v>
      </c>
      <c r="C383" s="4" t="s">
        <v>33</v>
      </c>
      <c r="D383" s="5">
        <v>119.7</v>
      </c>
      <c r="E383" s="1">
        <v>6</v>
      </c>
      <c r="F383" s="1">
        <f>InputData[[#This Row],[UNIT PRICE ($)]]*InputData[[#This Row],[QUANTITY]]</f>
        <v>718.2</v>
      </c>
      <c r="G383" s="1" t="str">
        <f>VLOOKUP(InputData[[#This Row],[CUSTOMER NAME]],Country[#All],2,0)</f>
        <v>Saudi Arabia</v>
      </c>
      <c r="H383" s="1" t="str">
        <f>VLOOKUP(InputData[[#This Row],[CUSTOMER NAME]],Country[#All],3,0)</f>
        <v>Export</v>
      </c>
      <c r="I383" s="1" t="str">
        <f>TEXT(InputData[[#This Row],[DATE]],"MMM")</f>
        <v>Jun</v>
      </c>
      <c r="J383" s="1">
        <f>WEEKNUM(InputData[[#This Row],[DATE]])</f>
        <v>24</v>
      </c>
    </row>
    <row r="384" spans="1:10" x14ac:dyDescent="0.25">
      <c r="A384" s="3">
        <v>44353</v>
      </c>
      <c r="B384" s="6" t="s">
        <v>87</v>
      </c>
      <c r="C384" s="4" t="s">
        <v>1</v>
      </c>
      <c r="D384" s="5">
        <v>103.88</v>
      </c>
      <c r="E384" s="1">
        <v>33</v>
      </c>
      <c r="F384" s="1">
        <f>InputData[[#This Row],[UNIT PRICE ($)]]*InputData[[#This Row],[QUANTITY]]</f>
        <v>3428.04</v>
      </c>
      <c r="G384" s="1" t="str">
        <f>VLOOKUP(InputData[[#This Row],[CUSTOMER NAME]],Country[#All],2,0)</f>
        <v>France</v>
      </c>
      <c r="H384" s="1" t="str">
        <f>VLOOKUP(InputData[[#This Row],[CUSTOMER NAME]],Country[#All],3,0)</f>
        <v>Export</v>
      </c>
      <c r="I384" s="1" t="str">
        <f>TEXT(InputData[[#This Row],[DATE]],"MMM")</f>
        <v>Jun</v>
      </c>
      <c r="J384" s="1">
        <f>WEEKNUM(InputData[[#This Row],[DATE]])</f>
        <v>24</v>
      </c>
    </row>
    <row r="385" spans="1:10" x14ac:dyDescent="0.25">
      <c r="A385" s="3">
        <v>44355</v>
      </c>
      <c r="B385" s="6" t="s">
        <v>71</v>
      </c>
      <c r="C385" s="4" t="s">
        <v>28</v>
      </c>
      <c r="D385" s="5">
        <v>41.81</v>
      </c>
      <c r="E385" s="1">
        <v>11</v>
      </c>
      <c r="F385" s="1">
        <f>InputData[[#This Row],[UNIT PRICE ($)]]*InputData[[#This Row],[QUANTITY]]</f>
        <v>459.91</v>
      </c>
      <c r="G385" s="1" t="str">
        <f>VLOOKUP(InputData[[#This Row],[CUSTOMER NAME]],Country[#All],2,0)</f>
        <v>India</v>
      </c>
      <c r="H385" s="1" t="str">
        <f>VLOOKUP(InputData[[#This Row],[CUSTOMER NAME]],Country[#All],3,0)</f>
        <v>Central</v>
      </c>
      <c r="I385" s="1" t="str">
        <f>TEXT(InputData[[#This Row],[DATE]],"MMM")</f>
        <v>Jun</v>
      </c>
      <c r="J385" s="1">
        <f>WEEKNUM(InputData[[#This Row],[DATE]])</f>
        <v>24</v>
      </c>
    </row>
    <row r="386" spans="1:10" x14ac:dyDescent="0.25">
      <c r="A386" s="3">
        <v>44355</v>
      </c>
      <c r="B386" s="6" t="s">
        <v>82</v>
      </c>
      <c r="C386" s="4" t="s">
        <v>4</v>
      </c>
      <c r="D386" s="5">
        <v>48.84</v>
      </c>
      <c r="E386" s="1">
        <v>11</v>
      </c>
      <c r="F386" s="1">
        <f>InputData[[#This Row],[UNIT PRICE ($)]]*InputData[[#This Row],[QUANTITY]]</f>
        <v>537.24</v>
      </c>
      <c r="G386" s="1" t="str">
        <f>VLOOKUP(InputData[[#This Row],[CUSTOMER NAME]],Country[#All],2,0)</f>
        <v>India</v>
      </c>
      <c r="H386" s="1" t="str">
        <f>VLOOKUP(InputData[[#This Row],[CUSTOMER NAME]],Country[#All],3,0)</f>
        <v>Western</v>
      </c>
      <c r="I386" s="1" t="str">
        <f>TEXT(InputData[[#This Row],[DATE]],"MMM")</f>
        <v>Jun</v>
      </c>
      <c r="J386" s="1">
        <f>WEEKNUM(InputData[[#This Row],[DATE]])</f>
        <v>24</v>
      </c>
    </row>
    <row r="387" spans="1:10" x14ac:dyDescent="0.25">
      <c r="A387" s="3">
        <v>44356</v>
      </c>
      <c r="B387" s="6" t="s">
        <v>80</v>
      </c>
      <c r="C387" s="4" t="s">
        <v>1</v>
      </c>
      <c r="D387" s="5">
        <v>103.88</v>
      </c>
      <c r="E387" s="1">
        <v>7</v>
      </c>
      <c r="F387" s="1">
        <f>InputData[[#This Row],[UNIT PRICE ($)]]*InputData[[#This Row],[QUANTITY]]</f>
        <v>727.16</v>
      </c>
      <c r="G387" s="1" t="str">
        <f>VLOOKUP(InputData[[#This Row],[CUSTOMER NAME]],Country[#All],2,0)</f>
        <v>South Africa</v>
      </c>
      <c r="H387" s="1" t="str">
        <f>VLOOKUP(InputData[[#This Row],[CUSTOMER NAME]],Country[#All],3,0)</f>
        <v>Export</v>
      </c>
      <c r="I387" s="1" t="str">
        <f>TEXT(InputData[[#This Row],[DATE]],"MMM")</f>
        <v>Jun</v>
      </c>
      <c r="J387" s="1">
        <f>WEEKNUM(InputData[[#This Row],[DATE]])</f>
        <v>24</v>
      </c>
    </row>
    <row r="388" spans="1:10" x14ac:dyDescent="0.25">
      <c r="A388" s="3">
        <v>44356</v>
      </c>
      <c r="B388" s="6" t="s">
        <v>86</v>
      </c>
      <c r="C388" s="4" t="s">
        <v>40</v>
      </c>
      <c r="D388" s="5">
        <v>115.2</v>
      </c>
      <c r="E388" s="1">
        <v>32</v>
      </c>
      <c r="F388" s="1">
        <f>InputData[[#This Row],[UNIT PRICE ($)]]*InputData[[#This Row],[QUANTITY]]</f>
        <v>3686.4</v>
      </c>
      <c r="G388" s="1" t="str">
        <f>VLOOKUP(InputData[[#This Row],[CUSTOMER NAME]],Country[#All],2,0)</f>
        <v>India</v>
      </c>
      <c r="H388" s="1" t="str">
        <f>VLOOKUP(InputData[[#This Row],[CUSTOMER NAME]],Country[#All],3,0)</f>
        <v>South</v>
      </c>
      <c r="I388" s="1" t="str">
        <f>TEXT(InputData[[#This Row],[DATE]],"MMM")</f>
        <v>Jun</v>
      </c>
      <c r="J388" s="1">
        <f>WEEKNUM(InputData[[#This Row],[DATE]])</f>
        <v>24</v>
      </c>
    </row>
    <row r="389" spans="1:10" x14ac:dyDescent="0.25">
      <c r="A389" s="3">
        <v>44357</v>
      </c>
      <c r="B389" s="6" t="s">
        <v>61</v>
      </c>
      <c r="C389" s="4" t="s">
        <v>28</v>
      </c>
      <c r="D389" s="5">
        <v>41.81</v>
      </c>
      <c r="E389" s="1">
        <v>8</v>
      </c>
      <c r="F389" s="1">
        <f>InputData[[#This Row],[UNIT PRICE ($)]]*InputData[[#This Row],[QUANTITY]]</f>
        <v>334.48</v>
      </c>
      <c r="G389" s="1" t="str">
        <f>VLOOKUP(InputData[[#This Row],[CUSTOMER NAME]],Country[#All],2,0)</f>
        <v>Bangladesh</v>
      </c>
      <c r="H389" s="1" t="str">
        <f>VLOOKUP(InputData[[#This Row],[CUSTOMER NAME]],Country[#All],3,0)</f>
        <v>Export</v>
      </c>
      <c r="I389" s="1" t="str">
        <f>TEXT(InputData[[#This Row],[DATE]],"MMM")</f>
        <v>Jun</v>
      </c>
      <c r="J389" s="1">
        <f>WEEKNUM(InputData[[#This Row],[DATE]])</f>
        <v>24</v>
      </c>
    </row>
    <row r="390" spans="1:10" x14ac:dyDescent="0.25">
      <c r="A390" s="3">
        <v>44358</v>
      </c>
      <c r="B390" s="6" t="s">
        <v>110</v>
      </c>
      <c r="C390" s="4" t="s">
        <v>32</v>
      </c>
      <c r="D390" s="5">
        <v>117.48</v>
      </c>
      <c r="E390" s="1">
        <v>12</v>
      </c>
      <c r="F390" s="1">
        <f>InputData[[#This Row],[UNIT PRICE ($)]]*InputData[[#This Row],[QUANTITY]]</f>
        <v>1409.76</v>
      </c>
      <c r="G390" s="1" t="str">
        <f>VLOOKUP(InputData[[#This Row],[CUSTOMER NAME]],Country[#All],2,0)</f>
        <v>India</v>
      </c>
      <c r="H390" s="1" t="str">
        <f>VLOOKUP(InputData[[#This Row],[CUSTOMER NAME]],Country[#All],3,0)</f>
        <v>Western</v>
      </c>
      <c r="I390" s="1" t="str">
        <f>TEXT(InputData[[#This Row],[DATE]],"MMM")</f>
        <v>Jun</v>
      </c>
      <c r="J390" s="1">
        <f>WEEKNUM(InputData[[#This Row],[DATE]])</f>
        <v>24</v>
      </c>
    </row>
    <row r="391" spans="1:10" x14ac:dyDescent="0.25">
      <c r="A391" s="3">
        <v>44358</v>
      </c>
      <c r="B391" s="6" t="s">
        <v>110</v>
      </c>
      <c r="C391" s="4" t="s">
        <v>5</v>
      </c>
      <c r="D391" s="5">
        <v>155.61000000000001</v>
      </c>
      <c r="E391" s="1">
        <v>9</v>
      </c>
      <c r="F391" s="1">
        <f>InputData[[#This Row],[UNIT PRICE ($)]]*InputData[[#This Row],[QUANTITY]]</f>
        <v>1400.4900000000002</v>
      </c>
      <c r="G391" s="1" t="str">
        <f>VLOOKUP(InputData[[#This Row],[CUSTOMER NAME]],Country[#All],2,0)</f>
        <v>India</v>
      </c>
      <c r="H391" s="1" t="str">
        <f>VLOOKUP(InputData[[#This Row],[CUSTOMER NAME]],Country[#All],3,0)</f>
        <v>Western</v>
      </c>
      <c r="I391" s="1" t="str">
        <f>TEXT(InputData[[#This Row],[DATE]],"MMM")</f>
        <v>Jun</v>
      </c>
      <c r="J391" s="1">
        <f>WEEKNUM(InputData[[#This Row],[DATE]])</f>
        <v>24</v>
      </c>
    </row>
    <row r="392" spans="1:10" x14ac:dyDescent="0.25">
      <c r="A392" s="3">
        <v>44358</v>
      </c>
      <c r="B392" s="6" t="s">
        <v>74</v>
      </c>
      <c r="C392" s="4" t="s">
        <v>39</v>
      </c>
      <c r="D392" s="5">
        <v>42.55</v>
      </c>
      <c r="E392" s="1">
        <v>13</v>
      </c>
      <c r="F392" s="1">
        <f>InputData[[#This Row],[UNIT PRICE ($)]]*InputData[[#This Row],[QUANTITY]]</f>
        <v>553.15</v>
      </c>
      <c r="G392" s="1" t="str">
        <f>VLOOKUP(InputData[[#This Row],[CUSTOMER NAME]],Country[#All],2,0)</f>
        <v>Brazil</v>
      </c>
      <c r="H392" s="1" t="str">
        <f>VLOOKUP(InputData[[#This Row],[CUSTOMER NAME]],Country[#All],3,0)</f>
        <v>Export</v>
      </c>
      <c r="I392" s="1" t="str">
        <f>TEXT(InputData[[#This Row],[DATE]],"MMM")</f>
        <v>Jun</v>
      </c>
      <c r="J392" s="1">
        <f>WEEKNUM(InputData[[#This Row],[DATE]])</f>
        <v>24</v>
      </c>
    </row>
    <row r="393" spans="1:10" x14ac:dyDescent="0.25">
      <c r="A393" s="3">
        <v>44358</v>
      </c>
      <c r="B393" s="6" t="s">
        <v>85</v>
      </c>
      <c r="C393" s="4" t="s">
        <v>21</v>
      </c>
      <c r="D393" s="5">
        <v>162.54</v>
      </c>
      <c r="E393" s="1">
        <v>6</v>
      </c>
      <c r="F393" s="1">
        <f>InputData[[#This Row],[UNIT PRICE ($)]]*InputData[[#This Row],[QUANTITY]]</f>
        <v>975.24</v>
      </c>
      <c r="G393" s="1" t="str">
        <f>VLOOKUP(InputData[[#This Row],[CUSTOMER NAME]],Country[#All],2,0)</f>
        <v>India</v>
      </c>
      <c r="H393" s="1" t="str">
        <f>VLOOKUP(InputData[[#This Row],[CUSTOMER NAME]],Country[#All],3,0)</f>
        <v>Northeast</v>
      </c>
      <c r="I393" s="1" t="str">
        <f>TEXT(InputData[[#This Row],[DATE]],"MMM")</f>
        <v>Jun</v>
      </c>
      <c r="J393" s="1">
        <f>WEEKNUM(InputData[[#This Row],[DATE]])</f>
        <v>24</v>
      </c>
    </row>
    <row r="394" spans="1:10" x14ac:dyDescent="0.25">
      <c r="A394" s="3">
        <v>44359</v>
      </c>
      <c r="B394" s="6" t="s">
        <v>76</v>
      </c>
      <c r="C394" s="4" t="s">
        <v>41</v>
      </c>
      <c r="D394" s="5">
        <v>173.88</v>
      </c>
      <c r="E394" s="1">
        <v>6</v>
      </c>
      <c r="F394" s="1">
        <f>InputData[[#This Row],[UNIT PRICE ($)]]*InputData[[#This Row],[QUANTITY]]</f>
        <v>1043.28</v>
      </c>
      <c r="G394" s="1" t="str">
        <f>VLOOKUP(InputData[[#This Row],[CUSTOMER NAME]],Country[#All],2,0)</f>
        <v>Saudi Arabia</v>
      </c>
      <c r="H394" s="1" t="str">
        <f>VLOOKUP(InputData[[#This Row],[CUSTOMER NAME]],Country[#All],3,0)</f>
        <v>Export</v>
      </c>
      <c r="I394" s="1" t="str">
        <f>TEXT(InputData[[#This Row],[DATE]],"MMM")</f>
        <v>Jun</v>
      </c>
      <c r="J394" s="1">
        <f>WEEKNUM(InputData[[#This Row],[DATE]])</f>
        <v>24</v>
      </c>
    </row>
    <row r="395" spans="1:10" x14ac:dyDescent="0.25">
      <c r="A395" s="3">
        <v>44360</v>
      </c>
      <c r="B395" s="6" t="s">
        <v>65</v>
      </c>
      <c r="C395" s="4" t="s">
        <v>26</v>
      </c>
      <c r="D395" s="5">
        <v>24.66</v>
      </c>
      <c r="E395" s="1">
        <v>6</v>
      </c>
      <c r="F395" s="1">
        <f>InputData[[#This Row],[UNIT PRICE ($)]]*InputData[[#This Row],[QUANTITY]]</f>
        <v>147.96</v>
      </c>
      <c r="G395" s="1" t="str">
        <f>VLOOKUP(InputData[[#This Row],[CUSTOMER NAME]],Country[#All],2,0)</f>
        <v>Pakistan</v>
      </c>
      <c r="H395" s="1" t="str">
        <f>VLOOKUP(InputData[[#This Row],[CUSTOMER NAME]],Country[#All],3,0)</f>
        <v>Export</v>
      </c>
      <c r="I395" s="1" t="str">
        <f>TEXT(InputData[[#This Row],[DATE]],"MMM")</f>
        <v>Jun</v>
      </c>
      <c r="J395" s="1">
        <f>WEEKNUM(InputData[[#This Row],[DATE]])</f>
        <v>25</v>
      </c>
    </row>
    <row r="396" spans="1:10" x14ac:dyDescent="0.25">
      <c r="A396" s="3">
        <v>44360</v>
      </c>
      <c r="B396" s="6" t="s">
        <v>69</v>
      </c>
      <c r="C396" s="4" t="s">
        <v>15</v>
      </c>
      <c r="D396" s="5">
        <v>15.719999999999999</v>
      </c>
      <c r="E396" s="1">
        <v>3</v>
      </c>
      <c r="F396" s="1">
        <f>InputData[[#This Row],[UNIT PRICE ($)]]*InputData[[#This Row],[QUANTITY]]</f>
        <v>47.16</v>
      </c>
      <c r="G396" s="1" t="str">
        <f>VLOOKUP(InputData[[#This Row],[CUSTOMER NAME]],Country[#All],2,0)</f>
        <v>India</v>
      </c>
      <c r="H396" s="1" t="str">
        <f>VLOOKUP(InputData[[#This Row],[CUSTOMER NAME]],Country[#All],3,0)</f>
        <v>South</v>
      </c>
      <c r="I396" s="1" t="str">
        <f>TEXT(InputData[[#This Row],[DATE]],"MMM")</f>
        <v>Jun</v>
      </c>
      <c r="J396" s="1">
        <f>WEEKNUM(InputData[[#This Row],[DATE]])</f>
        <v>25</v>
      </c>
    </row>
    <row r="397" spans="1:10" x14ac:dyDescent="0.25">
      <c r="A397" s="3">
        <v>44360</v>
      </c>
      <c r="B397" s="6" t="s">
        <v>75</v>
      </c>
      <c r="C397" s="4" t="s">
        <v>22</v>
      </c>
      <c r="D397" s="5">
        <v>141.57</v>
      </c>
      <c r="E397" s="1">
        <v>20</v>
      </c>
      <c r="F397" s="1">
        <f>InputData[[#This Row],[UNIT PRICE ($)]]*InputData[[#This Row],[QUANTITY]]</f>
        <v>2831.3999999999996</v>
      </c>
      <c r="G397" s="1" t="str">
        <f>VLOOKUP(InputData[[#This Row],[CUSTOMER NAME]],Country[#All],2,0)</f>
        <v>Russia</v>
      </c>
      <c r="H397" s="1" t="str">
        <f>VLOOKUP(InputData[[#This Row],[CUSTOMER NAME]],Country[#All],3,0)</f>
        <v>Export</v>
      </c>
      <c r="I397" s="1" t="str">
        <f>TEXT(InputData[[#This Row],[DATE]],"MMM")</f>
        <v>Jun</v>
      </c>
      <c r="J397" s="1">
        <f>WEEKNUM(InputData[[#This Row],[DATE]])</f>
        <v>25</v>
      </c>
    </row>
    <row r="398" spans="1:10" x14ac:dyDescent="0.25">
      <c r="A398" s="3">
        <v>44360</v>
      </c>
      <c r="B398" s="6" t="s">
        <v>84</v>
      </c>
      <c r="C398" s="4" t="s">
        <v>35</v>
      </c>
      <c r="D398" s="5">
        <v>6.7</v>
      </c>
      <c r="E398" s="1">
        <v>2</v>
      </c>
      <c r="F398" s="1">
        <f>InputData[[#This Row],[UNIT PRICE ($)]]*InputData[[#This Row],[QUANTITY]]</f>
        <v>13.4</v>
      </c>
      <c r="G398" s="1" t="str">
        <f>VLOOKUP(InputData[[#This Row],[CUSTOMER NAME]],Country[#All],2,0)</f>
        <v>Ethiopia</v>
      </c>
      <c r="H398" s="1" t="str">
        <f>VLOOKUP(InputData[[#This Row],[CUSTOMER NAME]],Country[#All],3,0)</f>
        <v>Export</v>
      </c>
      <c r="I398" s="1" t="str">
        <f>TEXT(InputData[[#This Row],[DATE]],"MMM")</f>
        <v>Jun</v>
      </c>
      <c r="J398" s="1">
        <f>WEEKNUM(InputData[[#This Row],[DATE]])</f>
        <v>25</v>
      </c>
    </row>
    <row r="399" spans="1:10" x14ac:dyDescent="0.25">
      <c r="A399" s="3">
        <v>44361</v>
      </c>
      <c r="B399" s="6" t="s">
        <v>65</v>
      </c>
      <c r="C399" s="4" t="s">
        <v>25</v>
      </c>
      <c r="D399" s="5">
        <v>8.33</v>
      </c>
      <c r="E399" s="1">
        <v>10</v>
      </c>
      <c r="F399" s="1">
        <f>InputData[[#This Row],[UNIT PRICE ($)]]*InputData[[#This Row],[QUANTITY]]</f>
        <v>83.3</v>
      </c>
      <c r="G399" s="1" t="str">
        <f>VLOOKUP(InputData[[#This Row],[CUSTOMER NAME]],Country[#All],2,0)</f>
        <v>Pakistan</v>
      </c>
      <c r="H399" s="1" t="str">
        <f>VLOOKUP(InputData[[#This Row],[CUSTOMER NAME]],Country[#All],3,0)</f>
        <v>Export</v>
      </c>
      <c r="I399" s="1" t="str">
        <f>TEXT(InputData[[#This Row],[DATE]],"MMM")</f>
        <v>Jun</v>
      </c>
      <c r="J399" s="1">
        <f>WEEKNUM(InputData[[#This Row],[DATE]])</f>
        <v>25</v>
      </c>
    </row>
    <row r="400" spans="1:10" x14ac:dyDescent="0.25">
      <c r="A400" s="3">
        <v>44362</v>
      </c>
      <c r="B400" s="6" t="s">
        <v>89</v>
      </c>
      <c r="C400" s="4" t="s">
        <v>42</v>
      </c>
      <c r="D400" s="5">
        <v>162</v>
      </c>
      <c r="E400" s="1">
        <v>15</v>
      </c>
      <c r="F400" s="1">
        <f>InputData[[#This Row],[UNIT PRICE ($)]]*InputData[[#This Row],[QUANTITY]]</f>
        <v>2430</v>
      </c>
      <c r="G400" s="1" t="str">
        <f>VLOOKUP(InputData[[#This Row],[CUSTOMER NAME]],Country[#All],2,0)</f>
        <v>Mexico</v>
      </c>
      <c r="H400" s="1" t="str">
        <f>VLOOKUP(InputData[[#This Row],[CUSTOMER NAME]],Country[#All],3,0)</f>
        <v>Export</v>
      </c>
      <c r="I400" s="1" t="str">
        <f>TEXT(InputData[[#This Row],[DATE]],"MMM")</f>
        <v>Jun</v>
      </c>
      <c r="J400" s="1">
        <f>WEEKNUM(InputData[[#This Row],[DATE]])</f>
        <v>25</v>
      </c>
    </row>
    <row r="401" spans="1:10" x14ac:dyDescent="0.25">
      <c r="A401" s="3">
        <v>44363</v>
      </c>
      <c r="B401" s="6" t="s">
        <v>71</v>
      </c>
      <c r="C401" s="4" t="s">
        <v>19</v>
      </c>
      <c r="D401" s="5">
        <v>210</v>
      </c>
      <c r="E401" s="1">
        <v>5</v>
      </c>
      <c r="F401" s="1">
        <f>InputData[[#This Row],[UNIT PRICE ($)]]*InputData[[#This Row],[QUANTITY]]</f>
        <v>1050</v>
      </c>
      <c r="G401" s="1" t="str">
        <f>VLOOKUP(InputData[[#This Row],[CUSTOMER NAME]],Country[#All],2,0)</f>
        <v>India</v>
      </c>
      <c r="H401" s="1" t="str">
        <f>VLOOKUP(InputData[[#This Row],[CUSTOMER NAME]],Country[#All],3,0)</f>
        <v>Central</v>
      </c>
      <c r="I401" s="1" t="str">
        <f>TEXT(InputData[[#This Row],[DATE]],"MMM")</f>
        <v>Jun</v>
      </c>
      <c r="J401" s="1">
        <f>WEEKNUM(InputData[[#This Row],[DATE]])</f>
        <v>25</v>
      </c>
    </row>
    <row r="402" spans="1:10" x14ac:dyDescent="0.25">
      <c r="A402" s="3">
        <v>44363</v>
      </c>
      <c r="B402" s="6" t="s">
        <v>80</v>
      </c>
      <c r="C402" s="4" t="s">
        <v>39</v>
      </c>
      <c r="D402" s="5">
        <v>42.55</v>
      </c>
      <c r="E402" s="1">
        <v>11</v>
      </c>
      <c r="F402" s="1">
        <f>InputData[[#This Row],[UNIT PRICE ($)]]*InputData[[#This Row],[QUANTITY]]</f>
        <v>468.04999999999995</v>
      </c>
      <c r="G402" s="1" t="str">
        <f>VLOOKUP(InputData[[#This Row],[CUSTOMER NAME]],Country[#All],2,0)</f>
        <v>South Africa</v>
      </c>
      <c r="H402" s="1" t="str">
        <f>VLOOKUP(InputData[[#This Row],[CUSTOMER NAME]],Country[#All],3,0)</f>
        <v>Export</v>
      </c>
      <c r="I402" s="1" t="str">
        <f>TEXT(InputData[[#This Row],[DATE]],"MMM")</f>
        <v>Jun</v>
      </c>
      <c r="J402" s="1">
        <f>WEEKNUM(InputData[[#This Row],[DATE]])</f>
        <v>25</v>
      </c>
    </row>
    <row r="403" spans="1:10" x14ac:dyDescent="0.25">
      <c r="A403" s="3">
        <v>44363</v>
      </c>
      <c r="B403" s="6" t="s">
        <v>81</v>
      </c>
      <c r="C403" s="4" t="s">
        <v>15</v>
      </c>
      <c r="D403" s="5">
        <v>15.719999999999999</v>
      </c>
      <c r="E403" s="1">
        <v>12</v>
      </c>
      <c r="F403" s="1">
        <f>InputData[[#This Row],[UNIT PRICE ($)]]*InputData[[#This Row],[QUANTITY]]</f>
        <v>188.64</v>
      </c>
      <c r="G403" s="1" t="str">
        <f>VLOOKUP(InputData[[#This Row],[CUSTOMER NAME]],Country[#All],2,0)</f>
        <v>India</v>
      </c>
      <c r="H403" s="1" t="str">
        <f>VLOOKUP(InputData[[#This Row],[CUSTOMER NAME]],Country[#All],3,0)</f>
        <v>East</v>
      </c>
      <c r="I403" s="1" t="str">
        <f>TEXT(InputData[[#This Row],[DATE]],"MMM")</f>
        <v>Jun</v>
      </c>
      <c r="J403" s="1">
        <f>WEEKNUM(InputData[[#This Row],[DATE]])</f>
        <v>25</v>
      </c>
    </row>
    <row r="404" spans="1:10" x14ac:dyDescent="0.25">
      <c r="A404" s="3">
        <v>44363</v>
      </c>
      <c r="B404" s="6" t="s">
        <v>116</v>
      </c>
      <c r="C404" s="4" t="s">
        <v>29</v>
      </c>
      <c r="D404" s="5">
        <v>53.11</v>
      </c>
      <c r="E404" s="1">
        <v>15</v>
      </c>
      <c r="F404" s="1">
        <f>InputData[[#This Row],[UNIT PRICE ($)]]*InputData[[#This Row],[QUANTITY]]</f>
        <v>796.65</v>
      </c>
      <c r="G404" s="1" t="str">
        <f>VLOOKUP(InputData[[#This Row],[CUSTOMER NAME]],Country[#All],2,0)</f>
        <v>Germany</v>
      </c>
      <c r="H404" s="1" t="str">
        <f>VLOOKUP(InputData[[#This Row],[CUSTOMER NAME]],Country[#All],3,0)</f>
        <v>Export</v>
      </c>
      <c r="I404" s="1" t="str">
        <f>TEXT(InputData[[#This Row],[DATE]],"MMM")</f>
        <v>Jun</v>
      </c>
      <c r="J404" s="1">
        <f>WEEKNUM(InputData[[#This Row],[DATE]])</f>
        <v>25</v>
      </c>
    </row>
    <row r="405" spans="1:10" x14ac:dyDescent="0.25">
      <c r="A405" s="3">
        <v>44363</v>
      </c>
      <c r="B405" s="6" t="s">
        <v>89</v>
      </c>
      <c r="C405" s="4" t="s">
        <v>1</v>
      </c>
      <c r="D405" s="5">
        <v>103.88</v>
      </c>
      <c r="E405" s="1">
        <v>26</v>
      </c>
      <c r="F405" s="1">
        <f>InputData[[#This Row],[UNIT PRICE ($)]]*InputData[[#This Row],[QUANTITY]]</f>
        <v>2700.88</v>
      </c>
      <c r="G405" s="1" t="str">
        <f>VLOOKUP(InputData[[#This Row],[CUSTOMER NAME]],Country[#All],2,0)</f>
        <v>Mexico</v>
      </c>
      <c r="H405" s="1" t="str">
        <f>VLOOKUP(InputData[[#This Row],[CUSTOMER NAME]],Country[#All],3,0)</f>
        <v>Export</v>
      </c>
      <c r="I405" s="1" t="str">
        <f>TEXT(InputData[[#This Row],[DATE]],"MMM")</f>
        <v>Jun</v>
      </c>
      <c r="J405" s="1">
        <f>WEEKNUM(InputData[[#This Row],[DATE]])</f>
        <v>25</v>
      </c>
    </row>
    <row r="406" spans="1:10" x14ac:dyDescent="0.25">
      <c r="A406" s="3">
        <v>44364</v>
      </c>
      <c r="B406" s="6" t="s">
        <v>71</v>
      </c>
      <c r="C406" s="4" t="s">
        <v>16</v>
      </c>
      <c r="D406" s="5">
        <v>16.64</v>
      </c>
      <c r="E406" s="1">
        <v>38</v>
      </c>
      <c r="F406" s="1">
        <f>InputData[[#This Row],[UNIT PRICE ($)]]*InputData[[#This Row],[QUANTITY]]</f>
        <v>632.32000000000005</v>
      </c>
      <c r="G406" s="1" t="str">
        <f>VLOOKUP(InputData[[#This Row],[CUSTOMER NAME]],Country[#All],2,0)</f>
        <v>India</v>
      </c>
      <c r="H406" s="1" t="str">
        <f>VLOOKUP(InputData[[#This Row],[CUSTOMER NAME]],Country[#All],3,0)</f>
        <v>Central</v>
      </c>
      <c r="I406" s="1" t="str">
        <f>TEXT(InputData[[#This Row],[DATE]],"MMM")</f>
        <v>Jun</v>
      </c>
      <c r="J406" s="1">
        <f>WEEKNUM(InputData[[#This Row],[DATE]])</f>
        <v>25</v>
      </c>
    </row>
    <row r="407" spans="1:10" x14ac:dyDescent="0.25">
      <c r="A407" s="3">
        <v>44364</v>
      </c>
      <c r="B407" s="6" t="s">
        <v>116</v>
      </c>
      <c r="C407" s="4" t="s">
        <v>19</v>
      </c>
      <c r="D407" s="5">
        <v>210</v>
      </c>
      <c r="E407" s="1">
        <v>24</v>
      </c>
      <c r="F407" s="1">
        <f>InputData[[#This Row],[UNIT PRICE ($)]]*InputData[[#This Row],[QUANTITY]]</f>
        <v>5040</v>
      </c>
      <c r="G407" s="1" t="str">
        <f>VLOOKUP(InputData[[#This Row],[CUSTOMER NAME]],Country[#All],2,0)</f>
        <v>Germany</v>
      </c>
      <c r="H407" s="1" t="str">
        <f>VLOOKUP(InputData[[#This Row],[CUSTOMER NAME]],Country[#All],3,0)</f>
        <v>Export</v>
      </c>
      <c r="I407" s="1" t="str">
        <f>TEXT(InputData[[#This Row],[DATE]],"MMM")</f>
        <v>Jun</v>
      </c>
      <c r="J407" s="1">
        <f>WEEKNUM(InputData[[#This Row],[DATE]])</f>
        <v>25</v>
      </c>
    </row>
    <row r="408" spans="1:10" x14ac:dyDescent="0.25">
      <c r="A408" s="3">
        <v>44365</v>
      </c>
      <c r="B408" s="6" t="s">
        <v>110</v>
      </c>
      <c r="C408" s="4" t="s">
        <v>34</v>
      </c>
      <c r="D408" s="5">
        <v>58.3</v>
      </c>
      <c r="E408" s="1">
        <v>35</v>
      </c>
      <c r="F408" s="1">
        <f>InputData[[#This Row],[UNIT PRICE ($)]]*InputData[[#This Row],[QUANTITY]]</f>
        <v>2040.5</v>
      </c>
      <c r="G408" s="1" t="str">
        <f>VLOOKUP(InputData[[#This Row],[CUSTOMER NAME]],Country[#All],2,0)</f>
        <v>India</v>
      </c>
      <c r="H408" s="1" t="str">
        <f>VLOOKUP(InputData[[#This Row],[CUSTOMER NAME]],Country[#All],3,0)</f>
        <v>Western</v>
      </c>
      <c r="I408" s="1" t="str">
        <f>TEXT(InputData[[#This Row],[DATE]],"MMM")</f>
        <v>Jun</v>
      </c>
      <c r="J408" s="1">
        <f>WEEKNUM(InputData[[#This Row],[DATE]])</f>
        <v>25</v>
      </c>
    </row>
    <row r="409" spans="1:10" x14ac:dyDescent="0.25">
      <c r="A409" s="3">
        <v>44365</v>
      </c>
      <c r="B409" s="6" t="s">
        <v>70</v>
      </c>
      <c r="C409" s="4" t="s">
        <v>25</v>
      </c>
      <c r="D409" s="5">
        <v>8.33</v>
      </c>
      <c r="E409" s="1">
        <v>13</v>
      </c>
      <c r="F409" s="1">
        <f>InputData[[#This Row],[UNIT PRICE ($)]]*InputData[[#This Row],[QUANTITY]]</f>
        <v>108.29</v>
      </c>
      <c r="G409" s="1" t="str">
        <f>VLOOKUP(InputData[[#This Row],[CUSTOMER NAME]],Country[#All],2,0)</f>
        <v>Mexico</v>
      </c>
      <c r="H409" s="1" t="str">
        <f>VLOOKUP(InputData[[#This Row],[CUSTOMER NAME]],Country[#All],3,0)</f>
        <v>Export</v>
      </c>
      <c r="I409" s="1" t="str">
        <f>TEXT(InputData[[#This Row],[DATE]],"MMM")</f>
        <v>Jun</v>
      </c>
      <c r="J409" s="1">
        <f>WEEKNUM(InputData[[#This Row],[DATE]])</f>
        <v>25</v>
      </c>
    </row>
    <row r="410" spans="1:10" x14ac:dyDescent="0.25">
      <c r="A410" s="3">
        <v>44365</v>
      </c>
      <c r="B410" s="6" t="s">
        <v>79</v>
      </c>
      <c r="C410" s="4" t="s">
        <v>13</v>
      </c>
      <c r="D410" s="5">
        <v>122.08</v>
      </c>
      <c r="E410" s="1">
        <v>5</v>
      </c>
      <c r="F410" s="1">
        <f>InputData[[#This Row],[UNIT PRICE ($)]]*InputData[[#This Row],[QUANTITY]]</f>
        <v>610.4</v>
      </c>
      <c r="G410" s="1" t="str">
        <f>VLOOKUP(InputData[[#This Row],[CUSTOMER NAME]],Country[#All],2,0)</f>
        <v>United Kingdom</v>
      </c>
      <c r="H410" s="1" t="str">
        <f>VLOOKUP(InputData[[#This Row],[CUSTOMER NAME]],Country[#All],3,0)</f>
        <v>Export</v>
      </c>
      <c r="I410" s="1" t="str">
        <f>TEXT(InputData[[#This Row],[DATE]],"MMM")</f>
        <v>Jun</v>
      </c>
      <c r="J410" s="1">
        <f>WEEKNUM(InputData[[#This Row],[DATE]])</f>
        <v>25</v>
      </c>
    </row>
    <row r="411" spans="1:10" x14ac:dyDescent="0.25">
      <c r="A411" s="3">
        <v>44365</v>
      </c>
      <c r="B411" s="6" t="s">
        <v>80</v>
      </c>
      <c r="C411" s="4" t="s">
        <v>32</v>
      </c>
      <c r="D411" s="5">
        <v>117.48</v>
      </c>
      <c r="E411" s="1">
        <v>8</v>
      </c>
      <c r="F411" s="1">
        <f>InputData[[#This Row],[UNIT PRICE ($)]]*InputData[[#This Row],[QUANTITY]]</f>
        <v>939.84</v>
      </c>
      <c r="G411" s="1" t="str">
        <f>VLOOKUP(InputData[[#This Row],[CUSTOMER NAME]],Country[#All],2,0)</f>
        <v>South Africa</v>
      </c>
      <c r="H411" s="1" t="str">
        <f>VLOOKUP(InputData[[#This Row],[CUSTOMER NAME]],Country[#All],3,0)</f>
        <v>Export</v>
      </c>
      <c r="I411" s="1" t="str">
        <f>TEXT(InputData[[#This Row],[DATE]],"MMM")</f>
        <v>Jun</v>
      </c>
      <c r="J411" s="1">
        <f>WEEKNUM(InputData[[#This Row],[DATE]])</f>
        <v>25</v>
      </c>
    </row>
    <row r="412" spans="1:10" x14ac:dyDescent="0.25">
      <c r="A412" s="3">
        <v>44366</v>
      </c>
      <c r="B412" s="6" t="s">
        <v>68</v>
      </c>
      <c r="C412" s="4" t="s">
        <v>44</v>
      </c>
      <c r="D412" s="5">
        <v>82.08</v>
      </c>
      <c r="E412" s="1">
        <v>11</v>
      </c>
      <c r="F412" s="1">
        <f>InputData[[#This Row],[UNIT PRICE ($)]]*InputData[[#This Row],[QUANTITY]]</f>
        <v>902.88</v>
      </c>
      <c r="G412" s="1" t="str">
        <f>VLOOKUP(InputData[[#This Row],[CUSTOMER NAME]],Country[#All],2,0)</f>
        <v>Russia</v>
      </c>
      <c r="H412" s="1" t="str">
        <f>VLOOKUP(InputData[[#This Row],[CUSTOMER NAME]],Country[#All],3,0)</f>
        <v>Export</v>
      </c>
      <c r="I412" s="1" t="str">
        <f>TEXT(InputData[[#This Row],[DATE]],"MMM")</f>
        <v>Jun</v>
      </c>
      <c r="J412" s="1">
        <f>WEEKNUM(InputData[[#This Row],[DATE]])</f>
        <v>25</v>
      </c>
    </row>
    <row r="413" spans="1:10" x14ac:dyDescent="0.25">
      <c r="A413" s="3">
        <v>44366</v>
      </c>
      <c r="B413" s="6" t="s">
        <v>73</v>
      </c>
      <c r="C413" s="4" t="s">
        <v>2</v>
      </c>
      <c r="D413" s="5">
        <v>142.80000000000001</v>
      </c>
      <c r="E413" s="1">
        <v>8</v>
      </c>
      <c r="F413" s="1">
        <f>InputData[[#This Row],[UNIT PRICE ($)]]*InputData[[#This Row],[QUANTITY]]</f>
        <v>1142.4000000000001</v>
      </c>
      <c r="G413" s="1" t="str">
        <f>VLOOKUP(InputData[[#This Row],[CUSTOMER NAME]],Country[#All],2,0)</f>
        <v>India</v>
      </c>
      <c r="H413" s="1" t="str">
        <f>VLOOKUP(InputData[[#This Row],[CUSTOMER NAME]],Country[#All],3,0)</f>
        <v>East</v>
      </c>
      <c r="I413" s="1" t="str">
        <f>TEXT(InputData[[#This Row],[DATE]],"MMM")</f>
        <v>Jun</v>
      </c>
      <c r="J413" s="1">
        <f>WEEKNUM(InputData[[#This Row],[DATE]])</f>
        <v>25</v>
      </c>
    </row>
    <row r="414" spans="1:10" x14ac:dyDescent="0.25">
      <c r="A414" s="3">
        <v>44366</v>
      </c>
      <c r="B414" s="6" t="s">
        <v>76</v>
      </c>
      <c r="C414" s="4" t="s">
        <v>41</v>
      </c>
      <c r="D414" s="5">
        <v>173.88</v>
      </c>
      <c r="E414" s="1">
        <v>5</v>
      </c>
      <c r="F414" s="1">
        <f>InputData[[#This Row],[UNIT PRICE ($)]]*InputData[[#This Row],[QUANTITY]]</f>
        <v>869.4</v>
      </c>
      <c r="G414" s="1" t="str">
        <f>VLOOKUP(InputData[[#This Row],[CUSTOMER NAME]],Country[#All],2,0)</f>
        <v>Saudi Arabia</v>
      </c>
      <c r="H414" s="1" t="str">
        <f>VLOOKUP(InputData[[#This Row],[CUSTOMER NAME]],Country[#All],3,0)</f>
        <v>Export</v>
      </c>
      <c r="I414" s="1" t="str">
        <f>TEXT(InputData[[#This Row],[DATE]],"MMM")</f>
        <v>Jun</v>
      </c>
      <c r="J414" s="1">
        <f>WEEKNUM(InputData[[#This Row],[DATE]])</f>
        <v>25</v>
      </c>
    </row>
    <row r="415" spans="1:10" x14ac:dyDescent="0.25">
      <c r="A415" s="3">
        <v>44367</v>
      </c>
      <c r="B415" s="6" t="s">
        <v>65</v>
      </c>
      <c r="C415" s="4" t="s">
        <v>16</v>
      </c>
      <c r="D415" s="5">
        <v>16.64</v>
      </c>
      <c r="E415" s="1">
        <v>1</v>
      </c>
      <c r="F415" s="1">
        <f>InputData[[#This Row],[UNIT PRICE ($)]]*InputData[[#This Row],[QUANTITY]]</f>
        <v>16.64</v>
      </c>
      <c r="G415" s="1" t="str">
        <f>VLOOKUP(InputData[[#This Row],[CUSTOMER NAME]],Country[#All],2,0)</f>
        <v>Pakistan</v>
      </c>
      <c r="H415" s="1" t="str">
        <f>VLOOKUP(InputData[[#This Row],[CUSTOMER NAME]],Country[#All],3,0)</f>
        <v>Export</v>
      </c>
      <c r="I415" s="1" t="str">
        <f>TEXT(InputData[[#This Row],[DATE]],"MMM")</f>
        <v>Jun</v>
      </c>
      <c r="J415" s="1">
        <f>WEEKNUM(InputData[[#This Row],[DATE]])</f>
        <v>26</v>
      </c>
    </row>
    <row r="416" spans="1:10" x14ac:dyDescent="0.25">
      <c r="A416" s="3">
        <v>44367</v>
      </c>
      <c r="B416" s="6" t="s">
        <v>89</v>
      </c>
      <c r="C416" s="4" t="s">
        <v>11</v>
      </c>
      <c r="D416" s="5">
        <v>48.4</v>
      </c>
      <c r="E416" s="1">
        <v>30</v>
      </c>
      <c r="F416" s="1">
        <f>InputData[[#This Row],[UNIT PRICE ($)]]*InputData[[#This Row],[QUANTITY]]</f>
        <v>1452</v>
      </c>
      <c r="G416" s="1" t="str">
        <f>VLOOKUP(InputData[[#This Row],[CUSTOMER NAME]],Country[#All],2,0)</f>
        <v>Mexico</v>
      </c>
      <c r="H416" s="1" t="str">
        <f>VLOOKUP(InputData[[#This Row],[CUSTOMER NAME]],Country[#All],3,0)</f>
        <v>Export</v>
      </c>
      <c r="I416" s="1" t="str">
        <f>TEXT(InputData[[#This Row],[DATE]],"MMM")</f>
        <v>Jun</v>
      </c>
      <c r="J416" s="1">
        <f>WEEKNUM(InputData[[#This Row],[DATE]])</f>
        <v>26</v>
      </c>
    </row>
    <row r="417" spans="1:10" x14ac:dyDescent="0.25">
      <c r="A417" s="3">
        <v>44368</v>
      </c>
      <c r="B417" s="6" t="s">
        <v>110</v>
      </c>
      <c r="C417" s="4" t="s">
        <v>17</v>
      </c>
      <c r="D417" s="5">
        <v>156.78</v>
      </c>
      <c r="E417" s="1">
        <v>14</v>
      </c>
      <c r="F417" s="1">
        <f>InputData[[#This Row],[UNIT PRICE ($)]]*InputData[[#This Row],[QUANTITY]]</f>
        <v>2194.92</v>
      </c>
      <c r="G417" s="1" t="str">
        <f>VLOOKUP(InputData[[#This Row],[CUSTOMER NAME]],Country[#All],2,0)</f>
        <v>India</v>
      </c>
      <c r="H417" s="1" t="str">
        <f>VLOOKUP(InputData[[#This Row],[CUSTOMER NAME]],Country[#All],3,0)</f>
        <v>Western</v>
      </c>
      <c r="I417" s="1" t="str">
        <f>TEXT(InputData[[#This Row],[DATE]],"MMM")</f>
        <v>Jun</v>
      </c>
      <c r="J417" s="1">
        <f>WEEKNUM(InputData[[#This Row],[DATE]])</f>
        <v>26</v>
      </c>
    </row>
    <row r="418" spans="1:10" x14ac:dyDescent="0.25">
      <c r="A418" s="3">
        <v>44369</v>
      </c>
      <c r="B418" s="6" t="s">
        <v>60</v>
      </c>
      <c r="C418" s="4" t="s">
        <v>1</v>
      </c>
      <c r="D418" s="5">
        <v>103.88</v>
      </c>
      <c r="E418" s="1">
        <v>4</v>
      </c>
      <c r="F418" s="1">
        <f>InputData[[#This Row],[UNIT PRICE ($)]]*InputData[[#This Row],[QUANTITY]]</f>
        <v>415.52</v>
      </c>
      <c r="G418" s="1" t="str">
        <f>VLOOKUP(InputData[[#This Row],[CUSTOMER NAME]],Country[#All],2,0)</f>
        <v>Nigeria</v>
      </c>
      <c r="H418" s="1" t="str">
        <f>VLOOKUP(InputData[[#This Row],[CUSTOMER NAME]],Country[#All],3,0)</f>
        <v>Export</v>
      </c>
      <c r="I418" s="1" t="str">
        <f>TEXT(InputData[[#This Row],[DATE]],"MMM")</f>
        <v>Jun</v>
      </c>
      <c r="J418" s="1">
        <f>WEEKNUM(InputData[[#This Row],[DATE]])</f>
        <v>26</v>
      </c>
    </row>
    <row r="419" spans="1:10" x14ac:dyDescent="0.25">
      <c r="A419" s="3">
        <v>44369</v>
      </c>
      <c r="B419" s="6" t="s">
        <v>67</v>
      </c>
      <c r="C419" s="4" t="s">
        <v>40</v>
      </c>
      <c r="D419" s="5">
        <v>115.2</v>
      </c>
      <c r="E419" s="1">
        <v>10</v>
      </c>
      <c r="F419" s="1">
        <f>InputData[[#This Row],[UNIT PRICE ($)]]*InputData[[#This Row],[QUANTITY]]</f>
        <v>1152</v>
      </c>
      <c r="G419" s="1" t="str">
        <f>VLOOKUP(InputData[[#This Row],[CUSTOMER NAME]],Country[#All],2,0)</f>
        <v>United Kingdom</v>
      </c>
      <c r="H419" s="1" t="str">
        <f>VLOOKUP(InputData[[#This Row],[CUSTOMER NAME]],Country[#All],3,0)</f>
        <v>Export</v>
      </c>
      <c r="I419" s="1" t="str">
        <f>TEXT(InputData[[#This Row],[DATE]],"MMM")</f>
        <v>Jun</v>
      </c>
      <c r="J419" s="1">
        <f>WEEKNUM(InputData[[#This Row],[DATE]])</f>
        <v>26</v>
      </c>
    </row>
    <row r="420" spans="1:10" x14ac:dyDescent="0.25">
      <c r="A420" s="3">
        <v>44370</v>
      </c>
      <c r="B420" s="6" t="s">
        <v>74</v>
      </c>
      <c r="C420" s="4" t="s">
        <v>16</v>
      </c>
      <c r="D420" s="5">
        <v>16.64</v>
      </c>
      <c r="E420" s="1">
        <v>4</v>
      </c>
      <c r="F420" s="1">
        <f>InputData[[#This Row],[UNIT PRICE ($)]]*InputData[[#This Row],[QUANTITY]]</f>
        <v>66.56</v>
      </c>
      <c r="G420" s="1" t="str">
        <f>VLOOKUP(InputData[[#This Row],[CUSTOMER NAME]],Country[#All],2,0)</f>
        <v>Brazil</v>
      </c>
      <c r="H420" s="1" t="str">
        <f>VLOOKUP(InputData[[#This Row],[CUSTOMER NAME]],Country[#All],3,0)</f>
        <v>Export</v>
      </c>
      <c r="I420" s="1" t="str">
        <f>TEXT(InputData[[#This Row],[DATE]],"MMM")</f>
        <v>Jun</v>
      </c>
      <c r="J420" s="1">
        <f>WEEKNUM(InputData[[#This Row],[DATE]])</f>
        <v>26</v>
      </c>
    </row>
    <row r="421" spans="1:10" x14ac:dyDescent="0.25">
      <c r="A421" s="3">
        <v>44370</v>
      </c>
      <c r="B421" s="6" t="s">
        <v>84</v>
      </c>
      <c r="C421" s="4" t="s">
        <v>8</v>
      </c>
      <c r="D421" s="5">
        <v>94.62</v>
      </c>
      <c r="E421" s="1">
        <v>22</v>
      </c>
      <c r="F421" s="1">
        <f>InputData[[#This Row],[UNIT PRICE ($)]]*InputData[[#This Row],[QUANTITY]]</f>
        <v>2081.6400000000003</v>
      </c>
      <c r="G421" s="1" t="str">
        <f>VLOOKUP(InputData[[#This Row],[CUSTOMER NAME]],Country[#All],2,0)</f>
        <v>Ethiopia</v>
      </c>
      <c r="H421" s="1" t="str">
        <f>VLOOKUP(InputData[[#This Row],[CUSTOMER NAME]],Country[#All],3,0)</f>
        <v>Export</v>
      </c>
      <c r="I421" s="1" t="str">
        <f>TEXT(InputData[[#This Row],[DATE]],"MMM")</f>
        <v>Jun</v>
      </c>
      <c r="J421" s="1">
        <f>WEEKNUM(InputData[[#This Row],[DATE]])</f>
        <v>26</v>
      </c>
    </row>
    <row r="422" spans="1:10" x14ac:dyDescent="0.25">
      <c r="A422" s="3">
        <v>44370</v>
      </c>
      <c r="B422" s="6" t="s">
        <v>89</v>
      </c>
      <c r="C422" s="4" t="s">
        <v>4</v>
      </c>
      <c r="D422" s="5">
        <v>48.84</v>
      </c>
      <c r="E422" s="1">
        <v>8</v>
      </c>
      <c r="F422" s="1">
        <f>InputData[[#This Row],[UNIT PRICE ($)]]*InputData[[#This Row],[QUANTITY]]</f>
        <v>390.72</v>
      </c>
      <c r="G422" s="1" t="str">
        <f>VLOOKUP(InputData[[#This Row],[CUSTOMER NAME]],Country[#All],2,0)</f>
        <v>Mexico</v>
      </c>
      <c r="H422" s="1" t="str">
        <f>VLOOKUP(InputData[[#This Row],[CUSTOMER NAME]],Country[#All],3,0)</f>
        <v>Export</v>
      </c>
      <c r="I422" s="1" t="str">
        <f>TEXT(InputData[[#This Row],[DATE]],"MMM")</f>
        <v>Jun</v>
      </c>
      <c r="J422" s="1">
        <f>WEEKNUM(InputData[[#This Row],[DATE]])</f>
        <v>26</v>
      </c>
    </row>
    <row r="423" spans="1:10" x14ac:dyDescent="0.25">
      <c r="A423" s="3">
        <v>44371</v>
      </c>
      <c r="B423" s="6" t="s">
        <v>70</v>
      </c>
      <c r="C423" s="4" t="s">
        <v>40</v>
      </c>
      <c r="D423" s="5">
        <v>115.2</v>
      </c>
      <c r="E423" s="1">
        <v>10</v>
      </c>
      <c r="F423" s="1">
        <f>InputData[[#This Row],[UNIT PRICE ($)]]*InputData[[#This Row],[QUANTITY]]</f>
        <v>1152</v>
      </c>
      <c r="G423" s="1" t="str">
        <f>VLOOKUP(InputData[[#This Row],[CUSTOMER NAME]],Country[#All],2,0)</f>
        <v>Mexico</v>
      </c>
      <c r="H423" s="1" t="str">
        <f>VLOOKUP(InputData[[#This Row],[CUSTOMER NAME]],Country[#All],3,0)</f>
        <v>Export</v>
      </c>
      <c r="I423" s="1" t="str">
        <f>TEXT(InputData[[#This Row],[DATE]],"MMM")</f>
        <v>Jun</v>
      </c>
      <c r="J423" s="1">
        <f>WEEKNUM(InputData[[#This Row],[DATE]])</f>
        <v>26</v>
      </c>
    </row>
    <row r="424" spans="1:10" x14ac:dyDescent="0.25">
      <c r="A424" s="3">
        <v>44371</v>
      </c>
      <c r="B424" s="6" t="s">
        <v>71</v>
      </c>
      <c r="C424" s="4" t="s">
        <v>11</v>
      </c>
      <c r="D424" s="5">
        <v>48.4</v>
      </c>
      <c r="E424" s="1">
        <v>13</v>
      </c>
      <c r="F424" s="1">
        <f>InputData[[#This Row],[UNIT PRICE ($)]]*InputData[[#This Row],[QUANTITY]]</f>
        <v>629.19999999999993</v>
      </c>
      <c r="G424" s="1" t="str">
        <f>VLOOKUP(InputData[[#This Row],[CUSTOMER NAME]],Country[#All],2,0)</f>
        <v>India</v>
      </c>
      <c r="H424" s="1" t="str">
        <f>VLOOKUP(InputData[[#This Row],[CUSTOMER NAME]],Country[#All],3,0)</f>
        <v>Central</v>
      </c>
      <c r="I424" s="1" t="str">
        <f>TEXT(InputData[[#This Row],[DATE]],"MMM")</f>
        <v>Jun</v>
      </c>
      <c r="J424" s="1">
        <f>WEEKNUM(InputData[[#This Row],[DATE]])</f>
        <v>26</v>
      </c>
    </row>
    <row r="425" spans="1:10" x14ac:dyDescent="0.25">
      <c r="A425" s="3">
        <v>44371</v>
      </c>
      <c r="B425" s="6" t="s">
        <v>81</v>
      </c>
      <c r="C425" s="4" t="s">
        <v>20</v>
      </c>
      <c r="D425" s="5">
        <v>76.25</v>
      </c>
      <c r="E425" s="1">
        <v>23</v>
      </c>
      <c r="F425" s="1">
        <f>InputData[[#This Row],[UNIT PRICE ($)]]*InputData[[#This Row],[QUANTITY]]</f>
        <v>1753.75</v>
      </c>
      <c r="G425" s="1" t="str">
        <f>VLOOKUP(InputData[[#This Row],[CUSTOMER NAME]],Country[#All],2,0)</f>
        <v>India</v>
      </c>
      <c r="H425" s="1" t="str">
        <f>VLOOKUP(InputData[[#This Row],[CUSTOMER NAME]],Country[#All],3,0)</f>
        <v>East</v>
      </c>
      <c r="I425" s="1" t="str">
        <f>TEXT(InputData[[#This Row],[DATE]],"MMM")</f>
        <v>Jun</v>
      </c>
      <c r="J425" s="1">
        <f>WEEKNUM(InputData[[#This Row],[DATE]])</f>
        <v>26</v>
      </c>
    </row>
    <row r="426" spans="1:10" x14ac:dyDescent="0.25">
      <c r="A426" s="3">
        <v>44371</v>
      </c>
      <c r="B426" s="6" t="s">
        <v>87</v>
      </c>
      <c r="C426" s="4" t="s">
        <v>18</v>
      </c>
      <c r="D426" s="5">
        <v>49.21</v>
      </c>
      <c r="E426" s="1">
        <v>7</v>
      </c>
      <c r="F426" s="1">
        <f>InputData[[#This Row],[UNIT PRICE ($)]]*InputData[[#This Row],[QUANTITY]]</f>
        <v>344.47</v>
      </c>
      <c r="G426" s="1" t="str">
        <f>VLOOKUP(InputData[[#This Row],[CUSTOMER NAME]],Country[#All],2,0)</f>
        <v>France</v>
      </c>
      <c r="H426" s="1" t="str">
        <f>VLOOKUP(InputData[[#This Row],[CUSTOMER NAME]],Country[#All],3,0)</f>
        <v>Export</v>
      </c>
      <c r="I426" s="1" t="str">
        <f>TEXT(InputData[[#This Row],[DATE]],"MMM")</f>
        <v>Jun</v>
      </c>
      <c r="J426" s="1">
        <f>WEEKNUM(InputData[[#This Row],[DATE]])</f>
        <v>26</v>
      </c>
    </row>
    <row r="427" spans="1:10" x14ac:dyDescent="0.25">
      <c r="A427" s="3">
        <v>44372</v>
      </c>
      <c r="B427" s="6" t="s">
        <v>71</v>
      </c>
      <c r="C427" s="4" t="s">
        <v>12</v>
      </c>
      <c r="D427" s="5">
        <v>94.17</v>
      </c>
      <c r="E427" s="1">
        <v>7</v>
      </c>
      <c r="F427" s="1">
        <f>InputData[[#This Row],[UNIT PRICE ($)]]*InputData[[#This Row],[QUANTITY]]</f>
        <v>659.19</v>
      </c>
      <c r="G427" s="1" t="str">
        <f>VLOOKUP(InputData[[#This Row],[CUSTOMER NAME]],Country[#All],2,0)</f>
        <v>India</v>
      </c>
      <c r="H427" s="1" t="str">
        <f>VLOOKUP(InputData[[#This Row],[CUSTOMER NAME]],Country[#All],3,0)</f>
        <v>Central</v>
      </c>
      <c r="I427" s="1" t="str">
        <f>TEXT(InputData[[#This Row],[DATE]],"MMM")</f>
        <v>Jun</v>
      </c>
      <c r="J427" s="1">
        <f>WEEKNUM(InputData[[#This Row],[DATE]])</f>
        <v>26</v>
      </c>
    </row>
    <row r="428" spans="1:10" x14ac:dyDescent="0.25">
      <c r="A428" s="3">
        <v>44373</v>
      </c>
      <c r="B428" s="6" t="s">
        <v>65</v>
      </c>
      <c r="C428" s="4" t="s">
        <v>43</v>
      </c>
      <c r="D428" s="5">
        <v>83.08</v>
      </c>
      <c r="E428" s="1">
        <v>12</v>
      </c>
      <c r="F428" s="1">
        <f>InputData[[#This Row],[UNIT PRICE ($)]]*InputData[[#This Row],[QUANTITY]]</f>
        <v>996.96</v>
      </c>
      <c r="G428" s="1" t="str">
        <f>VLOOKUP(InputData[[#This Row],[CUSTOMER NAME]],Country[#All],2,0)</f>
        <v>Pakistan</v>
      </c>
      <c r="H428" s="1" t="str">
        <f>VLOOKUP(InputData[[#This Row],[CUSTOMER NAME]],Country[#All],3,0)</f>
        <v>Export</v>
      </c>
      <c r="I428" s="1" t="str">
        <f>TEXT(InputData[[#This Row],[DATE]],"MMM")</f>
        <v>Jun</v>
      </c>
      <c r="J428" s="1">
        <f>WEEKNUM(InputData[[#This Row],[DATE]])</f>
        <v>26</v>
      </c>
    </row>
    <row r="429" spans="1:10" x14ac:dyDescent="0.25">
      <c r="A429" s="3">
        <v>44373</v>
      </c>
      <c r="B429" s="6" t="s">
        <v>85</v>
      </c>
      <c r="C429" s="4" t="s">
        <v>9</v>
      </c>
      <c r="D429" s="5">
        <v>7.8599999999999994</v>
      </c>
      <c r="E429" s="1">
        <v>7</v>
      </c>
      <c r="F429" s="1">
        <f>InputData[[#This Row],[UNIT PRICE ($)]]*InputData[[#This Row],[QUANTITY]]</f>
        <v>55.019999999999996</v>
      </c>
      <c r="G429" s="1" t="str">
        <f>VLOOKUP(InputData[[#This Row],[CUSTOMER NAME]],Country[#All],2,0)</f>
        <v>India</v>
      </c>
      <c r="H429" s="1" t="str">
        <f>VLOOKUP(InputData[[#This Row],[CUSTOMER NAME]],Country[#All],3,0)</f>
        <v>Northeast</v>
      </c>
      <c r="I429" s="1" t="str">
        <f>TEXT(InputData[[#This Row],[DATE]],"MMM")</f>
        <v>Jun</v>
      </c>
      <c r="J429" s="1">
        <f>WEEKNUM(InputData[[#This Row],[DATE]])</f>
        <v>26</v>
      </c>
    </row>
    <row r="430" spans="1:10" x14ac:dyDescent="0.25">
      <c r="A430" s="3">
        <v>44373</v>
      </c>
      <c r="B430" s="6" t="s">
        <v>89</v>
      </c>
      <c r="C430" s="4" t="s">
        <v>34</v>
      </c>
      <c r="D430" s="5">
        <v>58.3</v>
      </c>
      <c r="E430" s="1">
        <v>4</v>
      </c>
      <c r="F430" s="1">
        <f>InputData[[#This Row],[UNIT PRICE ($)]]*InputData[[#This Row],[QUANTITY]]</f>
        <v>233.2</v>
      </c>
      <c r="G430" s="1" t="str">
        <f>VLOOKUP(InputData[[#This Row],[CUSTOMER NAME]],Country[#All],2,0)</f>
        <v>Mexico</v>
      </c>
      <c r="H430" s="1" t="str">
        <f>VLOOKUP(InputData[[#This Row],[CUSTOMER NAME]],Country[#All],3,0)</f>
        <v>Export</v>
      </c>
      <c r="I430" s="1" t="str">
        <f>TEXT(InputData[[#This Row],[DATE]],"MMM")</f>
        <v>Jun</v>
      </c>
      <c r="J430" s="1">
        <f>WEEKNUM(InputData[[#This Row],[DATE]])</f>
        <v>26</v>
      </c>
    </row>
    <row r="431" spans="1:10" x14ac:dyDescent="0.25">
      <c r="A431" s="3">
        <v>44374</v>
      </c>
      <c r="B431" s="6" t="s">
        <v>87</v>
      </c>
      <c r="C431" s="4" t="s">
        <v>5</v>
      </c>
      <c r="D431" s="5">
        <v>155.61000000000001</v>
      </c>
      <c r="E431" s="1">
        <v>11</v>
      </c>
      <c r="F431" s="1">
        <f>InputData[[#This Row],[UNIT PRICE ($)]]*InputData[[#This Row],[QUANTITY]]</f>
        <v>1711.71</v>
      </c>
      <c r="G431" s="1" t="str">
        <f>VLOOKUP(InputData[[#This Row],[CUSTOMER NAME]],Country[#All],2,0)</f>
        <v>France</v>
      </c>
      <c r="H431" s="1" t="str">
        <f>VLOOKUP(InputData[[#This Row],[CUSTOMER NAME]],Country[#All],3,0)</f>
        <v>Export</v>
      </c>
      <c r="I431" s="1" t="str">
        <f>TEXT(InputData[[#This Row],[DATE]],"MMM")</f>
        <v>Jun</v>
      </c>
      <c r="J431" s="1">
        <f>WEEKNUM(InputData[[#This Row],[DATE]])</f>
        <v>27</v>
      </c>
    </row>
    <row r="432" spans="1:10" x14ac:dyDescent="0.25">
      <c r="A432" s="3">
        <v>44375</v>
      </c>
      <c r="B432" s="6" t="s">
        <v>65</v>
      </c>
      <c r="C432" s="4" t="s">
        <v>21</v>
      </c>
      <c r="D432" s="5">
        <v>162.54</v>
      </c>
      <c r="E432" s="1">
        <v>2</v>
      </c>
      <c r="F432" s="1">
        <f>InputData[[#This Row],[UNIT PRICE ($)]]*InputData[[#This Row],[QUANTITY]]</f>
        <v>325.08</v>
      </c>
      <c r="G432" s="1" t="str">
        <f>VLOOKUP(InputData[[#This Row],[CUSTOMER NAME]],Country[#All],2,0)</f>
        <v>Pakistan</v>
      </c>
      <c r="H432" s="1" t="str">
        <f>VLOOKUP(InputData[[#This Row],[CUSTOMER NAME]],Country[#All],3,0)</f>
        <v>Export</v>
      </c>
      <c r="I432" s="1" t="str">
        <f>TEXT(InputData[[#This Row],[DATE]],"MMM")</f>
        <v>Jun</v>
      </c>
      <c r="J432" s="1">
        <f>WEEKNUM(InputData[[#This Row],[DATE]])</f>
        <v>27</v>
      </c>
    </row>
    <row r="433" spans="1:10" x14ac:dyDescent="0.25">
      <c r="A433" s="3">
        <v>44375</v>
      </c>
      <c r="B433" s="6" t="s">
        <v>78</v>
      </c>
      <c r="C433" s="4" t="s">
        <v>35</v>
      </c>
      <c r="D433" s="5">
        <v>6.7</v>
      </c>
      <c r="E433" s="1">
        <v>7</v>
      </c>
      <c r="F433" s="1">
        <f>InputData[[#This Row],[UNIT PRICE ($)]]*InputData[[#This Row],[QUANTITY]]</f>
        <v>46.9</v>
      </c>
      <c r="G433" s="1" t="str">
        <f>VLOOKUP(InputData[[#This Row],[CUSTOMER NAME]],Country[#All],2,0)</f>
        <v>India</v>
      </c>
      <c r="H433" s="1" t="str">
        <f>VLOOKUP(InputData[[#This Row],[CUSTOMER NAME]],Country[#All],3,0)</f>
        <v>Central</v>
      </c>
      <c r="I433" s="1" t="str">
        <f>TEXT(InputData[[#This Row],[DATE]],"MMM")</f>
        <v>Jun</v>
      </c>
      <c r="J433" s="1">
        <f>WEEKNUM(InputData[[#This Row],[DATE]])</f>
        <v>27</v>
      </c>
    </row>
    <row r="434" spans="1:10" x14ac:dyDescent="0.25">
      <c r="A434" s="3">
        <v>44376</v>
      </c>
      <c r="B434" s="6" t="s">
        <v>76</v>
      </c>
      <c r="C434" s="4" t="s">
        <v>14</v>
      </c>
      <c r="D434" s="5">
        <v>146.72</v>
      </c>
      <c r="E434" s="1">
        <v>4</v>
      </c>
      <c r="F434" s="1">
        <f>InputData[[#This Row],[UNIT PRICE ($)]]*InputData[[#This Row],[QUANTITY]]</f>
        <v>586.88</v>
      </c>
      <c r="G434" s="1" t="str">
        <f>VLOOKUP(InputData[[#This Row],[CUSTOMER NAME]],Country[#All],2,0)</f>
        <v>Saudi Arabia</v>
      </c>
      <c r="H434" s="1" t="str">
        <f>VLOOKUP(InputData[[#This Row],[CUSTOMER NAME]],Country[#All],3,0)</f>
        <v>Export</v>
      </c>
      <c r="I434" s="1" t="str">
        <f>TEXT(InputData[[#This Row],[DATE]],"MMM")</f>
        <v>Jun</v>
      </c>
      <c r="J434" s="1">
        <f>WEEKNUM(InputData[[#This Row],[DATE]])</f>
        <v>27</v>
      </c>
    </row>
    <row r="435" spans="1:10" x14ac:dyDescent="0.25">
      <c r="A435" s="3">
        <v>44377</v>
      </c>
      <c r="B435" s="6" t="s">
        <v>73</v>
      </c>
      <c r="C435" s="4" t="s">
        <v>43</v>
      </c>
      <c r="D435" s="5">
        <v>83.08</v>
      </c>
      <c r="E435" s="1">
        <v>8</v>
      </c>
      <c r="F435" s="1">
        <f>InputData[[#This Row],[UNIT PRICE ($)]]*InputData[[#This Row],[QUANTITY]]</f>
        <v>664.64</v>
      </c>
      <c r="G435" s="1" t="str">
        <f>VLOOKUP(InputData[[#This Row],[CUSTOMER NAME]],Country[#All],2,0)</f>
        <v>India</v>
      </c>
      <c r="H435" s="1" t="str">
        <f>VLOOKUP(InputData[[#This Row],[CUSTOMER NAME]],Country[#All],3,0)</f>
        <v>East</v>
      </c>
      <c r="I435" s="1" t="str">
        <f>TEXT(InputData[[#This Row],[DATE]],"MMM")</f>
        <v>Jun</v>
      </c>
      <c r="J435" s="1">
        <f>WEEKNUM(InputData[[#This Row],[DATE]])</f>
        <v>27</v>
      </c>
    </row>
    <row r="436" spans="1:10" x14ac:dyDescent="0.25">
      <c r="A436" s="3">
        <v>44378</v>
      </c>
      <c r="B436" s="6" t="s">
        <v>60</v>
      </c>
      <c r="C436" s="4" t="s">
        <v>5</v>
      </c>
      <c r="D436" s="5">
        <v>155.61000000000001</v>
      </c>
      <c r="E436" s="1">
        <v>11</v>
      </c>
      <c r="F436" s="1">
        <f>InputData[[#This Row],[UNIT PRICE ($)]]*InputData[[#This Row],[QUANTITY]]</f>
        <v>1711.71</v>
      </c>
      <c r="G436" s="1" t="str">
        <f>VLOOKUP(InputData[[#This Row],[CUSTOMER NAME]],Country[#All],2,0)</f>
        <v>Nigeria</v>
      </c>
      <c r="H436" s="1" t="str">
        <f>VLOOKUP(InputData[[#This Row],[CUSTOMER NAME]],Country[#All],3,0)</f>
        <v>Export</v>
      </c>
      <c r="I436" s="1" t="str">
        <f>TEXT(InputData[[#This Row],[DATE]],"MMM")</f>
        <v>Jul</v>
      </c>
      <c r="J436" s="1">
        <f>WEEKNUM(InputData[[#This Row],[DATE]])</f>
        <v>27</v>
      </c>
    </row>
    <row r="437" spans="1:10" x14ac:dyDescent="0.25">
      <c r="A437" s="3">
        <v>44378</v>
      </c>
      <c r="B437" s="6" t="s">
        <v>89</v>
      </c>
      <c r="C437" s="4" t="s">
        <v>40</v>
      </c>
      <c r="D437" s="5">
        <v>115.2</v>
      </c>
      <c r="E437" s="1">
        <v>22</v>
      </c>
      <c r="F437" s="1">
        <f>InputData[[#This Row],[UNIT PRICE ($)]]*InputData[[#This Row],[QUANTITY]]</f>
        <v>2534.4</v>
      </c>
      <c r="G437" s="1" t="str">
        <f>VLOOKUP(InputData[[#This Row],[CUSTOMER NAME]],Country[#All],2,0)</f>
        <v>Mexico</v>
      </c>
      <c r="H437" s="1" t="str">
        <f>VLOOKUP(InputData[[#This Row],[CUSTOMER NAME]],Country[#All],3,0)</f>
        <v>Export</v>
      </c>
      <c r="I437" s="1" t="str">
        <f>TEXT(InputData[[#This Row],[DATE]],"MMM")</f>
        <v>Jul</v>
      </c>
      <c r="J437" s="1">
        <f>WEEKNUM(InputData[[#This Row],[DATE]])</f>
        <v>27</v>
      </c>
    </row>
    <row r="438" spans="1:10" x14ac:dyDescent="0.25">
      <c r="A438" s="3">
        <v>44379</v>
      </c>
      <c r="B438" s="6" t="s">
        <v>68</v>
      </c>
      <c r="C438" s="4" t="s">
        <v>10</v>
      </c>
      <c r="D438" s="5">
        <v>164.28</v>
      </c>
      <c r="E438" s="1">
        <v>11</v>
      </c>
      <c r="F438" s="1">
        <f>InputData[[#This Row],[UNIT PRICE ($)]]*InputData[[#This Row],[QUANTITY]]</f>
        <v>1807.08</v>
      </c>
      <c r="G438" s="1" t="str">
        <f>VLOOKUP(InputData[[#This Row],[CUSTOMER NAME]],Country[#All],2,0)</f>
        <v>Russia</v>
      </c>
      <c r="H438" s="1" t="str">
        <f>VLOOKUP(InputData[[#This Row],[CUSTOMER NAME]],Country[#All],3,0)</f>
        <v>Export</v>
      </c>
      <c r="I438" s="1" t="str">
        <f>TEXT(InputData[[#This Row],[DATE]],"MMM")</f>
        <v>Jul</v>
      </c>
      <c r="J438" s="1">
        <f>WEEKNUM(InputData[[#This Row],[DATE]])</f>
        <v>27</v>
      </c>
    </row>
    <row r="439" spans="1:10" x14ac:dyDescent="0.25">
      <c r="A439" s="3">
        <v>44379</v>
      </c>
      <c r="B439" s="6" t="s">
        <v>112</v>
      </c>
      <c r="C439" s="4" t="s">
        <v>25</v>
      </c>
      <c r="D439" s="5">
        <v>8.33</v>
      </c>
      <c r="E439" s="1">
        <v>21</v>
      </c>
      <c r="F439" s="1">
        <f>InputData[[#This Row],[UNIT PRICE ($)]]*InputData[[#This Row],[QUANTITY]]</f>
        <v>174.93</v>
      </c>
      <c r="G439" s="1" t="str">
        <f>VLOOKUP(InputData[[#This Row],[CUSTOMER NAME]],Country[#All],2,0)</f>
        <v>India</v>
      </c>
      <c r="H439" s="1" t="str">
        <f>VLOOKUP(InputData[[#This Row],[CUSTOMER NAME]],Country[#All],3,0)</f>
        <v>North</v>
      </c>
      <c r="I439" s="1" t="str">
        <f>TEXT(InputData[[#This Row],[DATE]],"MMM")</f>
        <v>Jul</v>
      </c>
      <c r="J439" s="1">
        <f>WEEKNUM(InputData[[#This Row],[DATE]])</f>
        <v>27</v>
      </c>
    </row>
    <row r="440" spans="1:10" x14ac:dyDescent="0.25">
      <c r="A440" s="3">
        <v>44379</v>
      </c>
      <c r="B440" s="6" t="s">
        <v>81</v>
      </c>
      <c r="C440" s="4" t="s">
        <v>27</v>
      </c>
      <c r="D440" s="5">
        <v>57.120000000000005</v>
      </c>
      <c r="E440" s="1">
        <v>2</v>
      </c>
      <c r="F440" s="1">
        <f>InputData[[#This Row],[UNIT PRICE ($)]]*InputData[[#This Row],[QUANTITY]]</f>
        <v>114.24000000000001</v>
      </c>
      <c r="G440" s="1" t="str">
        <f>VLOOKUP(InputData[[#This Row],[CUSTOMER NAME]],Country[#All],2,0)</f>
        <v>India</v>
      </c>
      <c r="H440" s="1" t="str">
        <f>VLOOKUP(InputData[[#This Row],[CUSTOMER NAME]],Country[#All],3,0)</f>
        <v>East</v>
      </c>
      <c r="I440" s="1" t="str">
        <f>TEXT(InputData[[#This Row],[DATE]],"MMM")</f>
        <v>Jul</v>
      </c>
      <c r="J440" s="1">
        <f>WEEKNUM(InputData[[#This Row],[DATE]])</f>
        <v>27</v>
      </c>
    </row>
    <row r="441" spans="1:10" x14ac:dyDescent="0.25">
      <c r="A441" s="3">
        <v>44380</v>
      </c>
      <c r="B441" s="6" t="s">
        <v>61</v>
      </c>
      <c r="C441" s="4" t="s">
        <v>3</v>
      </c>
      <c r="D441" s="5">
        <v>80.94</v>
      </c>
      <c r="E441" s="1">
        <v>8</v>
      </c>
      <c r="F441" s="1">
        <f>InputData[[#This Row],[UNIT PRICE ($)]]*InputData[[#This Row],[QUANTITY]]</f>
        <v>647.52</v>
      </c>
      <c r="G441" s="1" t="str">
        <f>VLOOKUP(InputData[[#This Row],[CUSTOMER NAME]],Country[#All],2,0)</f>
        <v>Bangladesh</v>
      </c>
      <c r="H441" s="1" t="str">
        <f>VLOOKUP(InputData[[#This Row],[CUSTOMER NAME]],Country[#All],3,0)</f>
        <v>Export</v>
      </c>
      <c r="I441" s="1" t="str">
        <f>TEXT(InputData[[#This Row],[DATE]],"MMM")</f>
        <v>Jul</v>
      </c>
      <c r="J441" s="1">
        <f>WEEKNUM(InputData[[#This Row],[DATE]])</f>
        <v>27</v>
      </c>
    </row>
    <row r="442" spans="1:10" x14ac:dyDescent="0.25">
      <c r="A442" s="3">
        <v>44380</v>
      </c>
      <c r="B442" s="6" t="s">
        <v>74</v>
      </c>
      <c r="C442" s="4" t="s">
        <v>33</v>
      </c>
      <c r="D442" s="5">
        <v>119.7</v>
      </c>
      <c r="E442" s="1">
        <v>15</v>
      </c>
      <c r="F442" s="1">
        <f>InputData[[#This Row],[UNIT PRICE ($)]]*InputData[[#This Row],[QUANTITY]]</f>
        <v>1795.5</v>
      </c>
      <c r="G442" s="1" t="str">
        <f>VLOOKUP(InputData[[#This Row],[CUSTOMER NAME]],Country[#All],2,0)</f>
        <v>Brazil</v>
      </c>
      <c r="H442" s="1" t="str">
        <f>VLOOKUP(InputData[[#This Row],[CUSTOMER NAME]],Country[#All],3,0)</f>
        <v>Export</v>
      </c>
      <c r="I442" s="1" t="str">
        <f>TEXT(InputData[[#This Row],[DATE]],"MMM")</f>
        <v>Jul</v>
      </c>
      <c r="J442" s="1">
        <f>WEEKNUM(InputData[[#This Row],[DATE]])</f>
        <v>27</v>
      </c>
    </row>
    <row r="443" spans="1:10" x14ac:dyDescent="0.25">
      <c r="A443" s="3">
        <v>44380</v>
      </c>
      <c r="B443" s="6" t="s">
        <v>80</v>
      </c>
      <c r="C443" s="4" t="s">
        <v>33</v>
      </c>
      <c r="D443" s="5">
        <v>119.7</v>
      </c>
      <c r="E443" s="1">
        <v>9</v>
      </c>
      <c r="F443" s="1">
        <f>InputData[[#This Row],[UNIT PRICE ($)]]*InputData[[#This Row],[QUANTITY]]</f>
        <v>1077.3</v>
      </c>
      <c r="G443" s="1" t="str">
        <f>VLOOKUP(InputData[[#This Row],[CUSTOMER NAME]],Country[#All],2,0)</f>
        <v>South Africa</v>
      </c>
      <c r="H443" s="1" t="str">
        <f>VLOOKUP(InputData[[#This Row],[CUSTOMER NAME]],Country[#All],3,0)</f>
        <v>Export</v>
      </c>
      <c r="I443" s="1" t="str">
        <f>TEXT(InputData[[#This Row],[DATE]],"MMM")</f>
        <v>Jul</v>
      </c>
      <c r="J443" s="1">
        <f>WEEKNUM(InputData[[#This Row],[DATE]])</f>
        <v>27</v>
      </c>
    </row>
    <row r="444" spans="1:10" x14ac:dyDescent="0.25">
      <c r="A444" s="3">
        <v>44381</v>
      </c>
      <c r="B444" s="6" t="s">
        <v>81</v>
      </c>
      <c r="C444" s="4" t="s">
        <v>7</v>
      </c>
      <c r="D444" s="5">
        <v>47.730000000000004</v>
      </c>
      <c r="E444" s="1">
        <v>7</v>
      </c>
      <c r="F444" s="1">
        <f>InputData[[#This Row],[UNIT PRICE ($)]]*InputData[[#This Row],[QUANTITY]]</f>
        <v>334.11</v>
      </c>
      <c r="G444" s="1" t="str">
        <f>VLOOKUP(InputData[[#This Row],[CUSTOMER NAME]],Country[#All],2,0)</f>
        <v>India</v>
      </c>
      <c r="H444" s="1" t="str">
        <f>VLOOKUP(InputData[[#This Row],[CUSTOMER NAME]],Country[#All],3,0)</f>
        <v>East</v>
      </c>
      <c r="I444" s="1" t="str">
        <f>TEXT(InputData[[#This Row],[DATE]],"MMM")</f>
        <v>Jul</v>
      </c>
      <c r="J444" s="1">
        <f>WEEKNUM(InputData[[#This Row],[DATE]])</f>
        <v>28</v>
      </c>
    </row>
    <row r="445" spans="1:10" x14ac:dyDescent="0.25">
      <c r="A445" s="3">
        <v>44381</v>
      </c>
      <c r="B445" s="6" t="s">
        <v>84</v>
      </c>
      <c r="C445" s="4" t="s">
        <v>41</v>
      </c>
      <c r="D445" s="5">
        <v>173.88</v>
      </c>
      <c r="E445" s="1">
        <v>7</v>
      </c>
      <c r="F445" s="1">
        <f>InputData[[#This Row],[UNIT PRICE ($)]]*InputData[[#This Row],[QUANTITY]]</f>
        <v>1217.1599999999999</v>
      </c>
      <c r="G445" s="1" t="str">
        <f>VLOOKUP(InputData[[#This Row],[CUSTOMER NAME]],Country[#All],2,0)</f>
        <v>Ethiopia</v>
      </c>
      <c r="H445" s="1" t="str">
        <f>VLOOKUP(InputData[[#This Row],[CUSTOMER NAME]],Country[#All],3,0)</f>
        <v>Export</v>
      </c>
      <c r="I445" s="1" t="str">
        <f>TEXT(InputData[[#This Row],[DATE]],"MMM")</f>
        <v>Jul</v>
      </c>
      <c r="J445" s="1">
        <f>WEEKNUM(InputData[[#This Row],[DATE]])</f>
        <v>28</v>
      </c>
    </row>
    <row r="446" spans="1:10" x14ac:dyDescent="0.25">
      <c r="A446" s="3">
        <v>44382</v>
      </c>
      <c r="B446" s="6" t="s">
        <v>64</v>
      </c>
      <c r="C446" s="4" t="s">
        <v>25</v>
      </c>
      <c r="D446" s="5">
        <v>8.33</v>
      </c>
      <c r="E446" s="1">
        <v>7</v>
      </c>
      <c r="F446" s="1">
        <f>InputData[[#This Row],[UNIT PRICE ($)]]*InputData[[#This Row],[QUANTITY]]</f>
        <v>58.31</v>
      </c>
      <c r="G446" s="1" t="str">
        <f>VLOOKUP(InputData[[#This Row],[CUSTOMER NAME]],Country[#All],2,0)</f>
        <v>India</v>
      </c>
      <c r="H446" s="1" t="str">
        <f>VLOOKUP(InputData[[#This Row],[CUSTOMER NAME]],Country[#All],3,0)</f>
        <v>Northeast</v>
      </c>
      <c r="I446" s="1" t="str">
        <f>TEXT(InputData[[#This Row],[DATE]],"MMM")</f>
        <v>Jul</v>
      </c>
      <c r="J446" s="1">
        <f>WEEKNUM(InputData[[#This Row],[DATE]])</f>
        <v>28</v>
      </c>
    </row>
    <row r="447" spans="1:10" x14ac:dyDescent="0.25">
      <c r="A447" s="3">
        <v>44382</v>
      </c>
      <c r="B447" s="6" t="s">
        <v>76</v>
      </c>
      <c r="C447" s="4" t="s">
        <v>15</v>
      </c>
      <c r="D447" s="5">
        <v>15.719999999999999</v>
      </c>
      <c r="E447" s="1">
        <v>8</v>
      </c>
      <c r="F447" s="1">
        <f>InputData[[#This Row],[UNIT PRICE ($)]]*InputData[[#This Row],[QUANTITY]]</f>
        <v>125.75999999999999</v>
      </c>
      <c r="G447" s="1" t="str">
        <f>VLOOKUP(InputData[[#This Row],[CUSTOMER NAME]],Country[#All],2,0)</f>
        <v>Saudi Arabia</v>
      </c>
      <c r="H447" s="1" t="str">
        <f>VLOOKUP(InputData[[#This Row],[CUSTOMER NAME]],Country[#All],3,0)</f>
        <v>Export</v>
      </c>
      <c r="I447" s="1" t="str">
        <f>TEXT(InputData[[#This Row],[DATE]],"MMM")</f>
        <v>Jul</v>
      </c>
      <c r="J447" s="1">
        <f>WEEKNUM(InputData[[#This Row],[DATE]])</f>
        <v>28</v>
      </c>
    </row>
    <row r="448" spans="1:10" x14ac:dyDescent="0.25">
      <c r="A448" s="3">
        <v>44382</v>
      </c>
      <c r="B448" s="6" t="s">
        <v>80</v>
      </c>
      <c r="C448" s="4" t="s">
        <v>2</v>
      </c>
      <c r="D448" s="5">
        <v>142.80000000000001</v>
      </c>
      <c r="E448" s="1">
        <v>8</v>
      </c>
      <c r="F448" s="1">
        <f>InputData[[#This Row],[UNIT PRICE ($)]]*InputData[[#This Row],[QUANTITY]]</f>
        <v>1142.4000000000001</v>
      </c>
      <c r="G448" s="1" t="str">
        <f>VLOOKUP(InputData[[#This Row],[CUSTOMER NAME]],Country[#All],2,0)</f>
        <v>South Africa</v>
      </c>
      <c r="H448" s="1" t="str">
        <f>VLOOKUP(InputData[[#This Row],[CUSTOMER NAME]],Country[#All],3,0)</f>
        <v>Export</v>
      </c>
      <c r="I448" s="1" t="str">
        <f>TEXT(InputData[[#This Row],[DATE]],"MMM")</f>
        <v>Jul</v>
      </c>
      <c r="J448" s="1">
        <f>WEEKNUM(InputData[[#This Row],[DATE]])</f>
        <v>28</v>
      </c>
    </row>
    <row r="449" spans="1:10" x14ac:dyDescent="0.25">
      <c r="A449" s="3">
        <v>44383</v>
      </c>
      <c r="B449" s="6" t="s">
        <v>64</v>
      </c>
      <c r="C449" s="4" t="s">
        <v>24</v>
      </c>
      <c r="D449" s="5">
        <v>156.96</v>
      </c>
      <c r="E449" s="1">
        <v>11</v>
      </c>
      <c r="F449" s="1">
        <f>InputData[[#This Row],[UNIT PRICE ($)]]*InputData[[#This Row],[QUANTITY]]</f>
        <v>1726.5600000000002</v>
      </c>
      <c r="G449" s="1" t="str">
        <f>VLOOKUP(InputData[[#This Row],[CUSTOMER NAME]],Country[#All],2,0)</f>
        <v>India</v>
      </c>
      <c r="H449" s="1" t="str">
        <f>VLOOKUP(InputData[[#This Row],[CUSTOMER NAME]],Country[#All],3,0)</f>
        <v>Northeast</v>
      </c>
      <c r="I449" s="1" t="str">
        <f>TEXT(InputData[[#This Row],[DATE]],"MMM")</f>
        <v>Jul</v>
      </c>
      <c r="J449" s="1">
        <f>WEEKNUM(InputData[[#This Row],[DATE]])</f>
        <v>28</v>
      </c>
    </row>
    <row r="450" spans="1:10" x14ac:dyDescent="0.25">
      <c r="A450" s="3">
        <v>44383</v>
      </c>
      <c r="B450" s="6" t="s">
        <v>75</v>
      </c>
      <c r="C450" s="4" t="s">
        <v>41</v>
      </c>
      <c r="D450" s="5">
        <v>173.88</v>
      </c>
      <c r="E450" s="1">
        <v>15</v>
      </c>
      <c r="F450" s="1">
        <f>InputData[[#This Row],[UNIT PRICE ($)]]*InputData[[#This Row],[QUANTITY]]</f>
        <v>2608.1999999999998</v>
      </c>
      <c r="G450" s="1" t="str">
        <f>VLOOKUP(InputData[[#This Row],[CUSTOMER NAME]],Country[#All],2,0)</f>
        <v>Russia</v>
      </c>
      <c r="H450" s="1" t="str">
        <f>VLOOKUP(InputData[[#This Row],[CUSTOMER NAME]],Country[#All],3,0)</f>
        <v>Export</v>
      </c>
      <c r="I450" s="1" t="str">
        <f>TEXT(InputData[[#This Row],[DATE]],"MMM")</f>
        <v>Jul</v>
      </c>
      <c r="J450" s="1">
        <f>WEEKNUM(InputData[[#This Row],[DATE]])</f>
        <v>28</v>
      </c>
    </row>
    <row r="451" spans="1:10" x14ac:dyDescent="0.25">
      <c r="A451" s="3">
        <v>44383</v>
      </c>
      <c r="B451" s="6" t="s">
        <v>76</v>
      </c>
      <c r="C451" s="4" t="s">
        <v>41</v>
      </c>
      <c r="D451" s="5">
        <v>173.88</v>
      </c>
      <c r="E451" s="1">
        <v>2</v>
      </c>
      <c r="F451" s="1">
        <f>InputData[[#This Row],[UNIT PRICE ($)]]*InputData[[#This Row],[QUANTITY]]</f>
        <v>347.76</v>
      </c>
      <c r="G451" s="1" t="str">
        <f>VLOOKUP(InputData[[#This Row],[CUSTOMER NAME]],Country[#All],2,0)</f>
        <v>Saudi Arabia</v>
      </c>
      <c r="H451" s="1" t="str">
        <f>VLOOKUP(InputData[[#This Row],[CUSTOMER NAME]],Country[#All],3,0)</f>
        <v>Export</v>
      </c>
      <c r="I451" s="1" t="str">
        <f>TEXT(InputData[[#This Row],[DATE]],"MMM")</f>
        <v>Jul</v>
      </c>
      <c r="J451" s="1">
        <f>WEEKNUM(InputData[[#This Row],[DATE]])</f>
        <v>28</v>
      </c>
    </row>
    <row r="452" spans="1:10" x14ac:dyDescent="0.25">
      <c r="A452" s="3">
        <v>44385</v>
      </c>
      <c r="B452" s="6" t="s">
        <v>81</v>
      </c>
      <c r="C452" s="4" t="s">
        <v>18</v>
      </c>
      <c r="D452" s="5">
        <v>49.21</v>
      </c>
      <c r="E452" s="1">
        <v>2</v>
      </c>
      <c r="F452" s="1">
        <f>InputData[[#This Row],[UNIT PRICE ($)]]*InputData[[#This Row],[QUANTITY]]</f>
        <v>98.42</v>
      </c>
      <c r="G452" s="1" t="str">
        <f>VLOOKUP(InputData[[#This Row],[CUSTOMER NAME]],Country[#All],2,0)</f>
        <v>India</v>
      </c>
      <c r="H452" s="1" t="str">
        <f>VLOOKUP(InputData[[#This Row],[CUSTOMER NAME]],Country[#All],3,0)</f>
        <v>East</v>
      </c>
      <c r="I452" s="1" t="str">
        <f>TEXT(InputData[[#This Row],[DATE]],"MMM")</f>
        <v>Jul</v>
      </c>
      <c r="J452" s="1">
        <f>WEEKNUM(InputData[[#This Row],[DATE]])</f>
        <v>28</v>
      </c>
    </row>
    <row r="453" spans="1:10" x14ac:dyDescent="0.25">
      <c r="A453" s="3">
        <v>44385</v>
      </c>
      <c r="B453" s="6" t="s">
        <v>87</v>
      </c>
      <c r="C453" s="4" t="s">
        <v>4</v>
      </c>
      <c r="D453" s="5">
        <v>48.84</v>
      </c>
      <c r="E453" s="1">
        <v>10</v>
      </c>
      <c r="F453" s="1">
        <f>InputData[[#This Row],[UNIT PRICE ($)]]*InputData[[#This Row],[QUANTITY]]</f>
        <v>488.40000000000003</v>
      </c>
      <c r="G453" s="1" t="str">
        <f>VLOOKUP(InputData[[#This Row],[CUSTOMER NAME]],Country[#All],2,0)</f>
        <v>France</v>
      </c>
      <c r="H453" s="1" t="str">
        <f>VLOOKUP(InputData[[#This Row],[CUSTOMER NAME]],Country[#All],3,0)</f>
        <v>Export</v>
      </c>
      <c r="I453" s="1" t="str">
        <f>TEXT(InputData[[#This Row],[DATE]],"MMM")</f>
        <v>Jul</v>
      </c>
      <c r="J453" s="1">
        <f>WEEKNUM(InputData[[#This Row],[DATE]])</f>
        <v>28</v>
      </c>
    </row>
    <row r="454" spans="1:10" x14ac:dyDescent="0.25">
      <c r="A454" s="3">
        <v>44386</v>
      </c>
      <c r="B454" s="6" t="s">
        <v>75</v>
      </c>
      <c r="C454" s="4" t="s">
        <v>6</v>
      </c>
      <c r="D454" s="5">
        <v>85.5</v>
      </c>
      <c r="E454" s="1">
        <v>11</v>
      </c>
      <c r="F454" s="1">
        <f>InputData[[#This Row],[UNIT PRICE ($)]]*InputData[[#This Row],[QUANTITY]]</f>
        <v>940.5</v>
      </c>
      <c r="G454" s="1" t="str">
        <f>VLOOKUP(InputData[[#This Row],[CUSTOMER NAME]],Country[#All],2,0)</f>
        <v>Russia</v>
      </c>
      <c r="H454" s="1" t="str">
        <f>VLOOKUP(InputData[[#This Row],[CUSTOMER NAME]],Country[#All],3,0)</f>
        <v>Export</v>
      </c>
      <c r="I454" s="1" t="str">
        <f>TEXT(InputData[[#This Row],[DATE]],"MMM")</f>
        <v>Jul</v>
      </c>
      <c r="J454" s="1">
        <f>WEEKNUM(InputData[[#This Row],[DATE]])</f>
        <v>28</v>
      </c>
    </row>
    <row r="455" spans="1:10" x14ac:dyDescent="0.25">
      <c r="A455" s="3">
        <v>44387</v>
      </c>
      <c r="B455" s="6" t="s">
        <v>66</v>
      </c>
      <c r="C455" s="4" t="s">
        <v>10</v>
      </c>
      <c r="D455" s="5">
        <v>164.28</v>
      </c>
      <c r="E455" s="1">
        <v>15</v>
      </c>
      <c r="F455" s="1">
        <f>InputData[[#This Row],[UNIT PRICE ($)]]*InputData[[#This Row],[QUANTITY]]</f>
        <v>2464.1999999999998</v>
      </c>
      <c r="G455" s="1" t="str">
        <f>VLOOKUP(InputData[[#This Row],[CUSTOMER NAME]],Country[#All],2,0)</f>
        <v>Indonesia</v>
      </c>
      <c r="H455" s="1" t="str">
        <f>VLOOKUP(InputData[[#This Row],[CUSTOMER NAME]],Country[#All],3,0)</f>
        <v>Export</v>
      </c>
      <c r="I455" s="1" t="str">
        <f>TEXT(InputData[[#This Row],[DATE]],"MMM")</f>
        <v>Jul</v>
      </c>
      <c r="J455" s="1">
        <f>WEEKNUM(InputData[[#This Row],[DATE]])</f>
        <v>28</v>
      </c>
    </row>
    <row r="456" spans="1:10" x14ac:dyDescent="0.25">
      <c r="A456" s="3">
        <v>44387</v>
      </c>
      <c r="B456" s="6" t="s">
        <v>81</v>
      </c>
      <c r="C456" s="4" t="s">
        <v>32</v>
      </c>
      <c r="D456" s="5">
        <v>117.48</v>
      </c>
      <c r="E456" s="1">
        <v>12</v>
      </c>
      <c r="F456" s="1">
        <f>InputData[[#This Row],[UNIT PRICE ($)]]*InputData[[#This Row],[QUANTITY]]</f>
        <v>1409.76</v>
      </c>
      <c r="G456" s="1" t="str">
        <f>VLOOKUP(InputData[[#This Row],[CUSTOMER NAME]],Country[#All],2,0)</f>
        <v>India</v>
      </c>
      <c r="H456" s="1" t="str">
        <f>VLOOKUP(InputData[[#This Row],[CUSTOMER NAME]],Country[#All],3,0)</f>
        <v>East</v>
      </c>
      <c r="I456" s="1" t="str">
        <f>TEXT(InputData[[#This Row],[DATE]],"MMM")</f>
        <v>Jul</v>
      </c>
      <c r="J456" s="1">
        <f>WEEKNUM(InputData[[#This Row],[DATE]])</f>
        <v>28</v>
      </c>
    </row>
    <row r="457" spans="1:10" x14ac:dyDescent="0.25">
      <c r="A457" s="3">
        <v>44387</v>
      </c>
      <c r="B457" s="6" t="s">
        <v>87</v>
      </c>
      <c r="C457" s="4" t="s">
        <v>34</v>
      </c>
      <c r="D457" s="5">
        <v>58.3</v>
      </c>
      <c r="E457" s="1">
        <v>6</v>
      </c>
      <c r="F457" s="1">
        <f>InputData[[#This Row],[UNIT PRICE ($)]]*InputData[[#This Row],[QUANTITY]]</f>
        <v>349.79999999999995</v>
      </c>
      <c r="G457" s="1" t="str">
        <f>VLOOKUP(InputData[[#This Row],[CUSTOMER NAME]],Country[#All],2,0)</f>
        <v>France</v>
      </c>
      <c r="H457" s="1" t="str">
        <f>VLOOKUP(InputData[[#This Row],[CUSTOMER NAME]],Country[#All],3,0)</f>
        <v>Export</v>
      </c>
      <c r="I457" s="1" t="str">
        <f>TEXT(InputData[[#This Row],[DATE]],"MMM")</f>
        <v>Jul</v>
      </c>
      <c r="J457" s="1">
        <f>WEEKNUM(InputData[[#This Row],[DATE]])</f>
        <v>28</v>
      </c>
    </row>
    <row r="458" spans="1:10" x14ac:dyDescent="0.25">
      <c r="A458" s="3">
        <v>44388</v>
      </c>
      <c r="B458" s="6" t="s">
        <v>89</v>
      </c>
      <c r="C458" s="4" t="s">
        <v>9</v>
      </c>
      <c r="D458" s="5">
        <v>7.8599999999999994</v>
      </c>
      <c r="E458" s="1">
        <v>4</v>
      </c>
      <c r="F458" s="1">
        <f>InputData[[#This Row],[UNIT PRICE ($)]]*InputData[[#This Row],[QUANTITY]]</f>
        <v>31.439999999999998</v>
      </c>
      <c r="G458" s="1" t="str">
        <f>VLOOKUP(InputData[[#This Row],[CUSTOMER NAME]],Country[#All],2,0)</f>
        <v>Mexico</v>
      </c>
      <c r="H458" s="1" t="str">
        <f>VLOOKUP(InputData[[#This Row],[CUSTOMER NAME]],Country[#All],3,0)</f>
        <v>Export</v>
      </c>
      <c r="I458" s="1" t="str">
        <f>TEXT(InputData[[#This Row],[DATE]],"MMM")</f>
        <v>Jul</v>
      </c>
      <c r="J458" s="1">
        <f>WEEKNUM(InputData[[#This Row],[DATE]])</f>
        <v>29</v>
      </c>
    </row>
    <row r="459" spans="1:10" x14ac:dyDescent="0.25">
      <c r="A459" s="3">
        <v>44389</v>
      </c>
      <c r="B459" s="6" t="s">
        <v>65</v>
      </c>
      <c r="C459" s="4" t="s">
        <v>28</v>
      </c>
      <c r="D459" s="5">
        <v>41.81</v>
      </c>
      <c r="E459" s="1">
        <v>12</v>
      </c>
      <c r="F459" s="1">
        <f>InputData[[#This Row],[UNIT PRICE ($)]]*InputData[[#This Row],[QUANTITY]]</f>
        <v>501.72</v>
      </c>
      <c r="G459" s="1" t="str">
        <f>VLOOKUP(InputData[[#This Row],[CUSTOMER NAME]],Country[#All],2,0)</f>
        <v>Pakistan</v>
      </c>
      <c r="H459" s="1" t="str">
        <f>VLOOKUP(InputData[[#This Row],[CUSTOMER NAME]],Country[#All],3,0)</f>
        <v>Export</v>
      </c>
      <c r="I459" s="1" t="str">
        <f>TEXT(InputData[[#This Row],[DATE]],"MMM")</f>
        <v>Jul</v>
      </c>
      <c r="J459" s="1">
        <f>WEEKNUM(InputData[[#This Row],[DATE]])</f>
        <v>29</v>
      </c>
    </row>
    <row r="460" spans="1:10" x14ac:dyDescent="0.25">
      <c r="A460" s="3">
        <v>44389</v>
      </c>
      <c r="B460" s="6" t="s">
        <v>76</v>
      </c>
      <c r="C460" s="4" t="s">
        <v>39</v>
      </c>
      <c r="D460" s="5">
        <v>42.55</v>
      </c>
      <c r="E460" s="1">
        <v>4</v>
      </c>
      <c r="F460" s="1">
        <f>InputData[[#This Row],[UNIT PRICE ($)]]*InputData[[#This Row],[QUANTITY]]</f>
        <v>170.2</v>
      </c>
      <c r="G460" s="1" t="str">
        <f>VLOOKUP(InputData[[#This Row],[CUSTOMER NAME]],Country[#All],2,0)</f>
        <v>Saudi Arabia</v>
      </c>
      <c r="H460" s="1" t="str">
        <f>VLOOKUP(InputData[[#This Row],[CUSTOMER NAME]],Country[#All],3,0)</f>
        <v>Export</v>
      </c>
      <c r="I460" s="1" t="str">
        <f>TEXT(InputData[[#This Row],[DATE]],"MMM")</f>
        <v>Jul</v>
      </c>
      <c r="J460" s="1">
        <f>WEEKNUM(InputData[[#This Row],[DATE]])</f>
        <v>29</v>
      </c>
    </row>
    <row r="461" spans="1:10" x14ac:dyDescent="0.25">
      <c r="A461" s="3">
        <v>44390</v>
      </c>
      <c r="B461" s="6" t="s">
        <v>60</v>
      </c>
      <c r="C461" s="4" t="s">
        <v>19</v>
      </c>
      <c r="D461" s="5">
        <v>210</v>
      </c>
      <c r="E461" s="1">
        <v>1</v>
      </c>
      <c r="F461" s="1">
        <f>InputData[[#This Row],[UNIT PRICE ($)]]*InputData[[#This Row],[QUANTITY]]</f>
        <v>210</v>
      </c>
      <c r="G461" s="1" t="str">
        <f>VLOOKUP(InputData[[#This Row],[CUSTOMER NAME]],Country[#All],2,0)</f>
        <v>Nigeria</v>
      </c>
      <c r="H461" s="1" t="str">
        <f>VLOOKUP(InputData[[#This Row],[CUSTOMER NAME]],Country[#All],3,0)</f>
        <v>Export</v>
      </c>
      <c r="I461" s="1" t="str">
        <f>TEXT(InputData[[#This Row],[DATE]],"MMM")</f>
        <v>Jul</v>
      </c>
      <c r="J461" s="1">
        <f>WEEKNUM(InputData[[#This Row],[DATE]])</f>
        <v>29</v>
      </c>
    </row>
    <row r="462" spans="1:10" x14ac:dyDescent="0.25">
      <c r="A462" s="3">
        <v>44390</v>
      </c>
      <c r="B462" s="6" t="s">
        <v>80</v>
      </c>
      <c r="C462" s="4" t="s">
        <v>25</v>
      </c>
      <c r="D462" s="5">
        <v>8.33</v>
      </c>
      <c r="E462" s="1">
        <v>7</v>
      </c>
      <c r="F462" s="1">
        <f>InputData[[#This Row],[UNIT PRICE ($)]]*InputData[[#This Row],[QUANTITY]]</f>
        <v>58.31</v>
      </c>
      <c r="G462" s="1" t="str">
        <f>VLOOKUP(InputData[[#This Row],[CUSTOMER NAME]],Country[#All],2,0)</f>
        <v>South Africa</v>
      </c>
      <c r="H462" s="1" t="str">
        <f>VLOOKUP(InputData[[#This Row],[CUSTOMER NAME]],Country[#All],3,0)</f>
        <v>Export</v>
      </c>
      <c r="I462" s="1" t="str">
        <f>TEXT(InputData[[#This Row],[DATE]],"MMM")</f>
        <v>Jul</v>
      </c>
      <c r="J462" s="1">
        <f>WEEKNUM(InputData[[#This Row],[DATE]])</f>
        <v>29</v>
      </c>
    </row>
    <row r="463" spans="1:10" x14ac:dyDescent="0.25">
      <c r="A463" s="3">
        <v>44390</v>
      </c>
      <c r="B463" s="6" t="s">
        <v>88</v>
      </c>
      <c r="C463" s="4" t="s">
        <v>22</v>
      </c>
      <c r="D463" s="5">
        <v>141.57</v>
      </c>
      <c r="E463" s="1">
        <v>5</v>
      </c>
      <c r="F463" s="1">
        <f>InputData[[#This Row],[UNIT PRICE ($)]]*InputData[[#This Row],[QUANTITY]]</f>
        <v>707.84999999999991</v>
      </c>
      <c r="G463" s="1" t="str">
        <f>VLOOKUP(InputData[[#This Row],[CUSTOMER NAME]],Country[#All],2,0)</f>
        <v>India</v>
      </c>
      <c r="H463" s="1" t="str">
        <f>VLOOKUP(InputData[[#This Row],[CUSTOMER NAME]],Country[#All],3,0)</f>
        <v>South</v>
      </c>
      <c r="I463" s="1" t="str">
        <f>TEXT(InputData[[#This Row],[DATE]],"MMM")</f>
        <v>Jul</v>
      </c>
      <c r="J463" s="1">
        <f>WEEKNUM(InputData[[#This Row],[DATE]])</f>
        <v>29</v>
      </c>
    </row>
    <row r="464" spans="1:10" x14ac:dyDescent="0.25">
      <c r="A464" s="3">
        <v>44391</v>
      </c>
      <c r="B464" s="6" t="s">
        <v>61</v>
      </c>
      <c r="C464" s="4" t="s">
        <v>33</v>
      </c>
      <c r="D464" s="5">
        <v>119.7</v>
      </c>
      <c r="E464" s="1">
        <v>9</v>
      </c>
      <c r="F464" s="1">
        <f>InputData[[#This Row],[UNIT PRICE ($)]]*InputData[[#This Row],[QUANTITY]]</f>
        <v>1077.3</v>
      </c>
      <c r="G464" s="1" t="str">
        <f>VLOOKUP(InputData[[#This Row],[CUSTOMER NAME]],Country[#All],2,0)</f>
        <v>Bangladesh</v>
      </c>
      <c r="H464" s="1" t="str">
        <f>VLOOKUP(InputData[[#This Row],[CUSTOMER NAME]],Country[#All],3,0)</f>
        <v>Export</v>
      </c>
      <c r="I464" s="1" t="str">
        <f>TEXT(InputData[[#This Row],[DATE]],"MMM")</f>
        <v>Jul</v>
      </c>
      <c r="J464" s="1">
        <f>WEEKNUM(InputData[[#This Row],[DATE]])</f>
        <v>29</v>
      </c>
    </row>
    <row r="465" spans="1:10" x14ac:dyDescent="0.25">
      <c r="A465" s="3">
        <v>44391</v>
      </c>
      <c r="B465" s="6" t="s">
        <v>80</v>
      </c>
      <c r="C465" s="4" t="s">
        <v>12</v>
      </c>
      <c r="D465" s="5">
        <v>94.17</v>
      </c>
      <c r="E465" s="1">
        <v>13</v>
      </c>
      <c r="F465" s="1">
        <f>InputData[[#This Row],[UNIT PRICE ($)]]*InputData[[#This Row],[QUANTITY]]</f>
        <v>1224.21</v>
      </c>
      <c r="G465" s="1" t="str">
        <f>VLOOKUP(InputData[[#This Row],[CUSTOMER NAME]],Country[#All],2,0)</f>
        <v>South Africa</v>
      </c>
      <c r="H465" s="1" t="str">
        <f>VLOOKUP(InputData[[#This Row],[CUSTOMER NAME]],Country[#All],3,0)</f>
        <v>Export</v>
      </c>
      <c r="I465" s="1" t="str">
        <f>TEXT(InputData[[#This Row],[DATE]],"MMM")</f>
        <v>Jul</v>
      </c>
      <c r="J465" s="1">
        <f>WEEKNUM(InputData[[#This Row],[DATE]])</f>
        <v>29</v>
      </c>
    </row>
    <row r="466" spans="1:10" x14ac:dyDescent="0.25">
      <c r="A466" s="3">
        <v>44392</v>
      </c>
      <c r="B466" s="6" t="s">
        <v>75</v>
      </c>
      <c r="C466" s="4" t="s">
        <v>43</v>
      </c>
      <c r="D466" s="5">
        <v>83.08</v>
      </c>
      <c r="E466" s="1">
        <v>18</v>
      </c>
      <c r="F466" s="1">
        <f>InputData[[#This Row],[UNIT PRICE ($)]]*InputData[[#This Row],[QUANTITY]]</f>
        <v>1495.44</v>
      </c>
      <c r="G466" s="1" t="str">
        <f>VLOOKUP(InputData[[#This Row],[CUSTOMER NAME]],Country[#All],2,0)</f>
        <v>Russia</v>
      </c>
      <c r="H466" s="1" t="str">
        <f>VLOOKUP(InputData[[#This Row],[CUSTOMER NAME]],Country[#All],3,0)</f>
        <v>Export</v>
      </c>
      <c r="I466" s="1" t="str">
        <f>TEXT(InputData[[#This Row],[DATE]],"MMM")</f>
        <v>Jul</v>
      </c>
      <c r="J466" s="1">
        <f>WEEKNUM(InputData[[#This Row],[DATE]])</f>
        <v>29</v>
      </c>
    </row>
    <row r="467" spans="1:10" x14ac:dyDescent="0.25">
      <c r="A467" s="3">
        <v>44392</v>
      </c>
      <c r="B467" s="6" t="s">
        <v>89</v>
      </c>
      <c r="C467" s="4" t="s">
        <v>4</v>
      </c>
      <c r="D467" s="5">
        <v>48.84</v>
      </c>
      <c r="E467" s="1">
        <v>2</v>
      </c>
      <c r="F467" s="1">
        <f>InputData[[#This Row],[UNIT PRICE ($)]]*InputData[[#This Row],[QUANTITY]]</f>
        <v>97.68</v>
      </c>
      <c r="G467" s="1" t="str">
        <f>VLOOKUP(InputData[[#This Row],[CUSTOMER NAME]],Country[#All],2,0)</f>
        <v>Mexico</v>
      </c>
      <c r="H467" s="1" t="str">
        <f>VLOOKUP(InputData[[#This Row],[CUSTOMER NAME]],Country[#All],3,0)</f>
        <v>Export</v>
      </c>
      <c r="I467" s="1" t="str">
        <f>TEXT(InputData[[#This Row],[DATE]],"MMM")</f>
        <v>Jul</v>
      </c>
      <c r="J467" s="1">
        <f>WEEKNUM(InputData[[#This Row],[DATE]])</f>
        <v>29</v>
      </c>
    </row>
    <row r="468" spans="1:10" x14ac:dyDescent="0.25">
      <c r="A468" s="3">
        <v>44393</v>
      </c>
      <c r="B468" s="6" t="s">
        <v>65</v>
      </c>
      <c r="C468" s="4" t="s">
        <v>32</v>
      </c>
      <c r="D468" s="5">
        <v>117.48</v>
      </c>
      <c r="E468" s="1">
        <v>33</v>
      </c>
      <c r="F468" s="1">
        <f>InputData[[#This Row],[UNIT PRICE ($)]]*InputData[[#This Row],[QUANTITY]]</f>
        <v>3876.84</v>
      </c>
      <c r="G468" s="1" t="str">
        <f>VLOOKUP(InputData[[#This Row],[CUSTOMER NAME]],Country[#All],2,0)</f>
        <v>Pakistan</v>
      </c>
      <c r="H468" s="1" t="str">
        <f>VLOOKUP(InputData[[#This Row],[CUSTOMER NAME]],Country[#All],3,0)</f>
        <v>Export</v>
      </c>
      <c r="I468" s="1" t="str">
        <f>TEXT(InputData[[#This Row],[DATE]],"MMM")</f>
        <v>Jul</v>
      </c>
      <c r="J468" s="1">
        <f>WEEKNUM(InputData[[#This Row],[DATE]])</f>
        <v>29</v>
      </c>
    </row>
    <row r="469" spans="1:10" x14ac:dyDescent="0.25">
      <c r="A469" s="3">
        <v>44393</v>
      </c>
      <c r="B469" s="6" t="s">
        <v>69</v>
      </c>
      <c r="C469" s="4" t="s">
        <v>23</v>
      </c>
      <c r="D469" s="5">
        <v>149.46</v>
      </c>
      <c r="E469" s="1">
        <v>8</v>
      </c>
      <c r="F469" s="1">
        <f>InputData[[#This Row],[UNIT PRICE ($)]]*InputData[[#This Row],[QUANTITY]]</f>
        <v>1195.68</v>
      </c>
      <c r="G469" s="1" t="str">
        <f>VLOOKUP(InputData[[#This Row],[CUSTOMER NAME]],Country[#All],2,0)</f>
        <v>India</v>
      </c>
      <c r="H469" s="1" t="str">
        <f>VLOOKUP(InputData[[#This Row],[CUSTOMER NAME]],Country[#All],3,0)</f>
        <v>South</v>
      </c>
      <c r="I469" s="1" t="str">
        <f>TEXT(InputData[[#This Row],[DATE]],"MMM")</f>
        <v>Jul</v>
      </c>
      <c r="J469" s="1">
        <f>WEEKNUM(InputData[[#This Row],[DATE]])</f>
        <v>29</v>
      </c>
    </row>
    <row r="470" spans="1:10" x14ac:dyDescent="0.25">
      <c r="A470" s="3">
        <v>44393</v>
      </c>
      <c r="B470" s="6" t="s">
        <v>70</v>
      </c>
      <c r="C470" s="4" t="s">
        <v>31</v>
      </c>
      <c r="D470" s="5">
        <v>104.16</v>
      </c>
      <c r="E470" s="1">
        <v>35</v>
      </c>
      <c r="F470" s="1">
        <f>InputData[[#This Row],[UNIT PRICE ($)]]*InputData[[#This Row],[QUANTITY]]</f>
        <v>3645.6</v>
      </c>
      <c r="G470" s="1" t="str">
        <f>VLOOKUP(InputData[[#This Row],[CUSTOMER NAME]],Country[#All],2,0)</f>
        <v>Mexico</v>
      </c>
      <c r="H470" s="1" t="str">
        <f>VLOOKUP(InputData[[#This Row],[CUSTOMER NAME]],Country[#All],3,0)</f>
        <v>Export</v>
      </c>
      <c r="I470" s="1" t="str">
        <f>TEXT(InputData[[#This Row],[DATE]],"MMM")</f>
        <v>Jul</v>
      </c>
      <c r="J470" s="1">
        <f>WEEKNUM(InputData[[#This Row],[DATE]])</f>
        <v>29</v>
      </c>
    </row>
    <row r="471" spans="1:10" x14ac:dyDescent="0.25">
      <c r="A471" s="3">
        <v>44394</v>
      </c>
      <c r="B471" s="6" t="s">
        <v>67</v>
      </c>
      <c r="C471" s="4" t="s">
        <v>1</v>
      </c>
      <c r="D471" s="5">
        <v>103.88</v>
      </c>
      <c r="E471" s="1">
        <v>38</v>
      </c>
      <c r="F471" s="1">
        <f>InputData[[#This Row],[UNIT PRICE ($)]]*InputData[[#This Row],[QUANTITY]]</f>
        <v>3947.4399999999996</v>
      </c>
      <c r="G471" s="1" t="str">
        <f>VLOOKUP(InputData[[#This Row],[CUSTOMER NAME]],Country[#All],2,0)</f>
        <v>United Kingdom</v>
      </c>
      <c r="H471" s="1" t="str">
        <f>VLOOKUP(InputData[[#This Row],[CUSTOMER NAME]],Country[#All],3,0)</f>
        <v>Export</v>
      </c>
      <c r="I471" s="1" t="str">
        <f>TEXT(InputData[[#This Row],[DATE]],"MMM")</f>
        <v>Jul</v>
      </c>
      <c r="J471" s="1">
        <f>WEEKNUM(InputData[[#This Row],[DATE]])</f>
        <v>29</v>
      </c>
    </row>
    <row r="472" spans="1:10" x14ac:dyDescent="0.25">
      <c r="A472" s="3">
        <v>44394</v>
      </c>
      <c r="B472" s="6" t="s">
        <v>75</v>
      </c>
      <c r="C472" s="4" t="s">
        <v>22</v>
      </c>
      <c r="D472" s="5">
        <v>141.57</v>
      </c>
      <c r="E472" s="1">
        <v>18</v>
      </c>
      <c r="F472" s="1">
        <f>InputData[[#This Row],[UNIT PRICE ($)]]*InputData[[#This Row],[QUANTITY]]</f>
        <v>2548.2599999999998</v>
      </c>
      <c r="G472" s="1" t="str">
        <f>VLOOKUP(InputData[[#This Row],[CUSTOMER NAME]],Country[#All],2,0)</f>
        <v>Russia</v>
      </c>
      <c r="H472" s="1" t="str">
        <f>VLOOKUP(InputData[[#This Row],[CUSTOMER NAME]],Country[#All],3,0)</f>
        <v>Export</v>
      </c>
      <c r="I472" s="1" t="str">
        <f>TEXT(InputData[[#This Row],[DATE]],"MMM")</f>
        <v>Jul</v>
      </c>
      <c r="J472" s="1">
        <f>WEEKNUM(InputData[[#This Row],[DATE]])</f>
        <v>29</v>
      </c>
    </row>
    <row r="473" spans="1:10" x14ac:dyDescent="0.25">
      <c r="A473" s="3">
        <v>44394</v>
      </c>
      <c r="B473" s="6" t="s">
        <v>82</v>
      </c>
      <c r="C473" s="4" t="s">
        <v>23</v>
      </c>
      <c r="D473" s="5">
        <v>149.46</v>
      </c>
      <c r="E473" s="1">
        <v>30</v>
      </c>
      <c r="F473" s="1">
        <f>InputData[[#This Row],[UNIT PRICE ($)]]*InputData[[#This Row],[QUANTITY]]</f>
        <v>4483.8</v>
      </c>
      <c r="G473" s="1" t="str">
        <f>VLOOKUP(InputData[[#This Row],[CUSTOMER NAME]],Country[#All],2,0)</f>
        <v>India</v>
      </c>
      <c r="H473" s="1" t="str">
        <f>VLOOKUP(InputData[[#This Row],[CUSTOMER NAME]],Country[#All],3,0)</f>
        <v>Western</v>
      </c>
      <c r="I473" s="1" t="str">
        <f>TEXT(InputData[[#This Row],[DATE]],"MMM")</f>
        <v>Jul</v>
      </c>
      <c r="J473" s="1">
        <f>WEEKNUM(InputData[[#This Row],[DATE]])</f>
        <v>29</v>
      </c>
    </row>
    <row r="474" spans="1:10" x14ac:dyDescent="0.25">
      <c r="A474" s="3">
        <v>44394</v>
      </c>
      <c r="B474" s="6" t="s">
        <v>83</v>
      </c>
      <c r="C474" s="4" t="s">
        <v>41</v>
      </c>
      <c r="D474" s="5">
        <v>173.88</v>
      </c>
      <c r="E474" s="1">
        <v>8</v>
      </c>
      <c r="F474" s="1">
        <f>InputData[[#This Row],[UNIT PRICE ($)]]*InputData[[#This Row],[QUANTITY]]</f>
        <v>1391.04</v>
      </c>
      <c r="G474" s="1" t="str">
        <f>VLOOKUP(InputData[[#This Row],[CUSTOMER NAME]],Country[#All],2,0)</f>
        <v>India</v>
      </c>
      <c r="H474" s="1" t="str">
        <f>VLOOKUP(InputData[[#This Row],[CUSTOMER NAME]],Country[#All],3,0)</f>
        <v>North</v>
      </c>
      <c r="I474" s="1" t="str">
        <f>TEXT(InputData[[#This Row],[DATE]],"MMM")</f>
        <v>Jul</v>
      </c>
      <c r="J474" s="1">
        <f>WEEKNUM(InputData[[#This Row],[DATE]])</f>
        <v>29</v>
      </c>
    </row>
    <row r="475" spans="1:10" x14ac:dyDescent="0.25">
      <c r="A475" s="3">
        <v>44395</v>
      </c>
      <c r="B475" s="6" t="s">
        <v>79</v>
      </c>
      <c r="C475" s="4" t="s">
        <v>27</v>
      </c>
      <c r="D475" s="5">
        <v>57.120000000000005</v>
      </c>
      <c r="E475" s="1">
        <v>14</v>
      </c>
      <c r="F475" s="1">
        <f>InputData[[#This Row],[UNIT PRICE ($)]]*InputData[[#This Row],[QUANTITY]]</f>
        <v>799.68000000000006</v>
      </c>
      <c r="G475" s="1" t="str">
        <f>VLOOKUP(InputData[[#This Row],[CUSTOMER NAME]],Country[#All],2,0)</f>
        <v>United Kingdom</v>
      </c>
      <c r="H475" s="1" t="str">
        <f>VLOOKUP(InputData[[#This Row],[CUSTOMER NAME]],Country[#All],3,0)</f>
        <v>Export</v>
      </c>
      <c r="I475" s="1" t="str">
        <f>TEXT(InputData[[#This Row],[DATE]],"MMM")</f>
        <v>Jul</v>
      </c>
      <c r="J475" s="1">
        <f>WEEKNUM(InputData[[#This Row],[DATE]])</f>
        <v>30</v>
      </c>
    </row>
    <row r="476" spans="1:10" x14ac:dyDescent="0.25">
      <c r="A476" s="3">
        <v>44395</v>
      </c>
      <c r="B476" s="6" t="s">
        <v>82</v>
      </c>
      <c r="C476" s="4" t="s">
        <v>10</v>
      </c>
      <c r="D476" s="5">
        <v>164.28</v>
      </c>
      <c r="E476" s="1">
        <v>12</v>
      </c>
      <c r="F476" s="1">
        <f>InputData[[#This Row],[UNIT PRICE ($)]]*InputData[[#This Row],[QUANTITY]]</f>
        <v>1971.3600000000001</v>
      </c>
      <c r="G476" s="1" t="str">
        <f>VLOOKUP(InputData[[#This Row],[CUSTOMER NAME]],Country[#All],2,0)</f>
        <v>India</v>
      </c>
      <c r="H476" s="1" t="str">
        <f>VLOOKUP(InputData[[#This Row],[CUSTOMER NAME]],Country[#All],3,0)</f>
        <v>Western</v>
      </c>
      <c r="I476" s="1" t="str">
        <f>TEXT(InputData[[#This Row],[DATE]],"MMM")</f>
        <v>Jul</v>
      </c>
      <c r="J476" s="1">
        <f>WEEKNUM(InputData[[#This Row],[DATE]])</f>
        <v>30</v>
      </c>
    </row>
    <row r="477" spans="1:10" x14ac:dyDescent="0.25">
      <c r="A477" s="3">
        <v>44397</v>
      </c>
      <c r="B477" s="6" t="s">
        <v>112</v>
      </c>
      <c r="C477" s="4" t="s">
        <v>38</v>
      </c>
      <c r="D477" s="5">
        <v>79.92</v>
      </c>
      <c r="E477" s="1">
        <v>11</v>
      </c>
      <c r="F477" s="1">
        <f>InputData[[#This Row],[UNIT PRICE ($)]]*InputData[[#This Row],[QUANTITY]]</f>
        <v>879.12</v>
      </c>
      <c r="G477" s="1" t="str">
        <f>VLOOKUP(InputData[[#This Row],[CUSTOMER NAME]],Country[#All],2,0)</f>
        <v>India</v>
      </c>
      <c r="H477" s="1" t="str">
        <f>VLOOKUP(InputData[[#This Row],[CUSTOMER NAME]],Country[#All],3,0)</f>
        <v>North</v>
      </c>
      <c r="I477" s="1" t="str">
        <f>TEXT(InputData[[#This Row],[DATE]],"MMM")</f>
        <v>Jul</v>
      </c>
      <c r="J477" s="1">
        <f>WEEKNUM(InputData[[#This Row],[DATE]])</f>
        <v>30</v>
      </c>
    </row>
    <row r="478" spans="1:10" x14ac:dyDescent="0.25">
      <c r="A478" s="3">
        <v>44397</v>
      </c>
      <c r="B478" s="6" t="s">
        <v>78</v>
      </c>
      <c r="C478" s="4" t="s">
        <v>42</v>
      </c>
      <c r="D478" s="5">
        <v>162</v>
      </c>
      <c r="E478" s="1">
        <v>8</v>
      </c>
      <c r="F478" s="1">
        <f>InputData[[#This Row],[UNIT PRICE ($)]]*InputData[[#This Row],[QUANTITY]]</f>
        <v>1296</v>
      </c>
      <c r="G478" s="1" t="str">
        <f>VLOOKUP(InputData[[#This Row],[CUSTOMER NAME]],Country[#All],2,0)</f>
        <v>India</v>
      </c>
      <c r="H478" s="1" t="str">
        <f>VLOOKUP(InputData[[#This Row],[CUSTOMER NAME]],Country[#All],3,0)</f>
        <v>Central</v>
      </c>
      <c r="I478" s="1" t="str">
        <f>TEXT(InputData[[#This Row],[DATE]],"MMM")</f>
        <v>Jul</v>
      </c>
      <c r="J478" s="1">
        <f>WEEKNUM(InputData[[#This Row],[DATE]])</f>
        <v>30</v>
      </c>
    </row>
    <row r="479" spans="1:10" x14ac:dyDescent="0.25">
      <c r="A479" s="3">
        <v>44397</v>
      </c>
      <c r="B479" s="6" t="s">
        <v>88</v>
      </c>
      <c r="C479" s="4" t="s">
        <v>43</v>
      </c>
      <c r="D479" s="5">
        <v>83.08</v>
      </c>
      <c r="E479" s="1">
        <v>5</v>
      </c>
      <c r="F479" s="1">
        <f>InputData[[#This Row],[UNIT PRICE ($)]]*InputData[[#This Row],[QUANTITY]]</f>
        <v>415.4</v>
      </c>
      <c r="G479" s="1" t="str">
        <f>VLOOKUP(InputData[[#This Row],[CUSTOMER NAME]],Country[#All],2,0)</f>
        <v>India</v>
      </c>
      <c r="H479" s="1" t="str">
        <f>VLOOKUP(InputData[[#This Row],[CUSTOMER NAME]],Country[#All],3,0)</f>
        <v>South</v>
      </c>
      <c r="I479" s="1" t="str">
        <f>TEXT(InputData[[#This Row],[DATE]],"MMM")</f>
        <v>Jul</v>
      </c>
      <c r="J479" s="1">
        <f>WEEKNUM(InputData[[#This Row],[DATE]])</f>
        <v>30</v>
      </c>
    </row>
    <row r="480" spans="1:10" x14ac:dyDescent="0.25">
      <c r="A480" s="3">
        <v>44398</v>
      </c>
      <c r="B480" s="6" t="s">
        <v>61</v>
      </c>
      <c r="C480" s="4" t="s">
        <v>29</v>
      </c>
      <c r="D480" s="5">
        <v>53.11</v>
      </c>
      <c r="E480" s="1">
        <v>15</v>
      </c>
      <c r="F480" s="1">
        <f>InputData[[#This Row],[UNIT PRICE ($)]]*InputData[[#This Row],[QUANTITY]]</f>
        <v>796.65</v>
      </c>
      <c r="G480" s="1" t="str">
        <f>VLOOKUP(InputData[[#This Row],[CUSTOMER NAME]],Country[#All],2,0)</f>
        <v>Bangladesh</v>
      </c>
      <c r="H480" s="1" t="str">
        <f>VLOOKUP(InputData[[#This Row],[CUSTOMER NAME]],Country[#All],3,0)</f>
        <v>Export</v>
      </c>
      <c r="I480" s="1" t="str">
        <f>TEXT(InputData[[#This Row],[DATE]],"MMM")</f>
        <v>Jul</v>
      </c>
      <c r="J480" s="1">
        <f>WEEKNUM(InputData[[#This Row],[DATE]])</f>
        <v>30</v>
      </c>
    </row>
    <row r="481" spans="1:10" x14ac:dyDescent="0.25">
      <c r="A481" s="3">
        <v>44399</v>
      </c>
      <c r="B481" s="6" t="s">
        <v>109</v>
      </c>
      <c r="C481" s="4" t="s">
        <v>28</v>
      </c>
      <c r="D481" s="5">
        <v>41.81</v>
      </c>
      <c r="E481" s="1">
        <v>5</v>
      </c>
      <c r="F481" s="1">
        <f>InputData[[#This Row],[UNIT PRICE ($)]]*InputData[[#This Row],[QUANTITY]]</f>
        <v>209.05</v>
      </c>
      <c r="G481" s="1" t="str">
        <f>VLOOKUP(InputData[[#This Row],[CUSTOMER NAME]],Country[#All],2,0)</f>
        <v>Pakistan</v>
      </c>
      <c r="H481" s="1" t="str">
        <f>VLOOKUP(InputData[[#This Row],[CUSTOMER NAME]],Country[#All],3,0)</f>
        <v>Export</v>
      </c>
      <c r="I481" s="1" t="str">
        <f>TEXT(InputData[[#This Row],[DATE]],"MMM")</f>
        <v>Jul</v>
      </c>
      <c r="J481" s="1">
        <f>WEEKNUM(InputData[[#This Row],[DATE]])</f>
        <v>30</v>
      </c>
    </row>
    <row r="482" spans="1:10" x14ac:dyDescent="0.25">
      <c r="A482" s="3">
        <v>44399</v>
      </c>
      <c r="B482" s="6" t="s">
        <v>66</v>
      </c>
      <c r="C482" s="4" t="s">
        <v>24</v>
      </c>
      <c r="D482" s="5">
        <v>156.96</v>
      </c>
      <c r="E482" s="1">
        <v>14</v>
      </c>
      <c r="F482" s="1">
        <f>InputData[[#This Row],[UNIT PRICE ($)]]*InputData[[#This Row],[QUANTITY]]</f>
        <v>2197.44</v>
      </c>
      <c r="G482" s="1" t="str">
        <f>VLOOKUP(InputData[[#This Row],[CUSTOMER NAME]],Country[#All],2,0)</f>
        <v>Indonesia</v>
      </c>
      <c r="H482" s="1" t="str">
        <f>VLOOKUP(InputData[[#This Row],[CUSTOMER NAME]],Country[#All],3,0)</f>
        <v>Export</v>
      </c>
      <c r="I482" s="1" t="str">
        <f>TEXT(InputData[[#This Row],[DATE]],"MMM")</f>
        <v>Jul</v>
      </c>
      <c r="J482" s="1">
        <f>WEEKNUM(InputData[[#This Row],[DATE]])</f>
        <v>30</v>
      </c>
    </row>
    <row r="483" spans="1:10" x14ac:dyDescent="0.25">
      <c r="A483" s="3">
        <v>44399</v>
      </c>
      <c r="B483" s="6" t="s">
        <v>69</v>
      </c>
      <c r="C483" s="4" t="s">
        <v>32</v>
      </c>
      <c r="D483" s="5">
        <v>117.48</v>
      </c>
      <c r="E483" s="1">
        <v>27</v>
      </c>
      <c r="F483" s="1">
        <f>InputData[[#This Row],[UNIT PRICE ($)]]*InputData[[#This Row],[QUANTITY]]</f>
        <v>3171.96</v>
      </c>
      <c r="G483" s="1" t="str">
        <f>VLOOKUP(InputData[[#This Row],[CUSTOMER NAME]],Country[#All],2,0)</f>
        <v>India</v>
      </c>
      <c r="H483" s="1" t="str">
        <f>VLOOKUP(InputData[[#This Row],[CUSTOMER NAME]],Country[#All],3,0)</f>
        <v>South</v>
      </c>
      <c r="I483" s="1" t="str">
        <f>TEXT(InputData[[#This Row],[DATE]],"MMM")</f>
        <v>Jul</v>
      </c>
      <c r="J483" s="1">
        <f>WEEKNUM(InputData[[#This Row],[DATE]])</f>
        <v>30</v>
      </c>
    </row>
    <row r="484" spans="1:10" x14ac:dyDescent="0.25">
      <c r="A484" s="3">
        <v>44399</v>
      </c>
      <c r="B484" s="6" t="s">
        <v>74</v>
      </c>
      <c r="C484" s="4" t="s">
        <v>26</v>
      </c>
      <c r="D484" s="5">
        <v>24.66</v>
      </c>
      <c r="E484" s="1">
        <v>3</v>
      </c>
      <c r="F484" s="1">
        <f>InputData[[#This Row],[UNIT PRICE ($)]]*InputData[[#This Row],[QUANTITY]]</f>
        <v>73.98</v>
      </c>
      <c r="G484" s="1" t="str">
        <f>VLOOKUP(InputData[[#This Row],[CUSTOMER NAME]],Country[#All],2,0)</f>
        <v>Brazil</v>
      </c>
      <c r="H484" s="1" t="str">
        <f>VLOOKUP(InputData[[#This Row],[CUSTOMER NAME]],Country[#All],3,0)</f>
        <v>Export</v>
      </c>
      <c r="I484" s="1" t="str">
        <f>TEXT(InputData[[#This Row],[DATE]],"MMM")</f>
        <v>Jul</v>
      </c>
      <c r="J484" s="1">
        <f>WEEKNUM(InputData[[#This Row],[DATE]])</f>
        <v>30</v>
      </c>
    </row>
    <row r="485" spans="1:10" x14ac:dyDescent="0.25">
      <c r="A485" s="3">
        <v>44399</v>
      </c>
      <c r="B485" s="6" t="s">
        <v>77</v>
      </c>
      <c r="C485" s="4" t="s">
        <v>34</v>
      </c>
      <c r="D485" s="5">
        <v>58.3</v>
      </c>
      <c r="E485" s="1">
        <v>6</v>
      </c>
      <c r="F485" s="1">
        <f>InputData[[#This Row],[UNIT PRICE ($)]]*InputData[[#This Row],[QUANTITY]]</f>
        <v>349.79999999999995</v>
      </c>
      <c r="G485" s="1" t="str">
        <f>VLOOKUP(InputData[[#This Row],[CUSTOMER NAME]],Country[#All],2,0)</f>
        <v>India</v>
      </c>
      <c r="H485" s="1" t="str">
        <f>VLOOKUP(InputData[[#This Row],[CUSTOMER NAME]],Country[#All],3,0)</f>
        <v>Western</v>
      </c>
      <c r="I485" s="1" t="str">
        <f>TEXT(InputData[[#This Row],[DATE]],"MMM")</f>
        <v>Jul</v>
      </c>
      <c r="J485" s="1">
        <f>WEEKNUM(InputData[[#This Row],[DATE]])</f>
        <v>30</v>
      </c>
    </row>
    <row r="486" spans="1:10" x14ac:dyDescent="0.25">
      <c r="A486" s="3">
        <v>44400</v>
      </c>
      <c r="B486" s="6" t="s">
        <v>67</v>
      </c>
      <c r="C486" s="4" t="s">
        <v>18</v>
      </c>
      <c r="D486" s="5">
        <v>49.21</v>
      </c>
      <c r="E486" s="1">
        <v>2</v>
      </c>
      <c r="F486" s="1">
        <f>InputData[[#This Row],[UNIT PRICE ($)]]*InputData[[#This Row],[QUANTITY]]</f>
        <v>98.42</v>
      </c>
      <c r="G486" s="1" t="str">
        <f>VLOOKUP(InputData[[#This Row],[CUSTOMER NAME]],Country[#All],2,0)</f>
        <v>United Kingdom</v>
      </c>
      <c r="H486" s="1" t="str">
        <f>VLOOKUP(InputData[[#This Row],[CUSTOMER NAME]],Country[#All],3,0)</f>
        <v>Export</v>
      </c>
      <c r="I486" s="1" t="str">
        <f>TEXT(InputData[[#This Row],[DATE]],"MMM")</f>
        <v>Jul</v>
      </c>
      <c r="J486" s="1">
        <f>WEEKNUM(InputData[[#This Row],[DATE]])</f>
        <v>30</v>
      </c>
    </row>
    <row r="487" spans="1:10" x14ac:dyDescent="0.25">
      <c r="A487" s="3">
        <v>44400</v>
      </c>
      <c r="B487" s="6" t="s">
        <v>71</v>
      </c>
      <c r="C487" s="4" t="s">
        <v>43</v>
      </c>
      <c r="D487" s="5">
        <v>83.08</v>
      </c>
      <c r="E487" s="1">
        <v>9</v>
      </c>
      <c r="F487" s="1">
        <f>InputData[[#This Row],[UNIT PRICE ($)]]*InputData[[#This Row],[QUANTITY]]</f>
        <v>747.72</v>
      </c>
      <c r="G487" s="1" t="str">
        <f>VLOOKUP(InputData[[#This Row],[CUSTOMER NAME]],Country[#All],2,0)</f>
        <v>India</v>
      </c>
      <c r="H487" s="1" t="str">
        <f>VLOOKUP(InputData[[#This Row],[CUSTOMER NAME]],Country[#All],3,0)</f>
        <v>Central</v>
      </c>
      <c r="I487" s="1" t="str">
        <f>TEXT(InputData[[#This Row],[DATE]],"MMM")</f>
        <v>Jul</v>
      </c>
      <c r="J487" s="1">
        <f>WEEKNUM(InputData[[#This Row],[DATE]])</f>
        <v>30</v>
      </c>
    </row>
    <row r="488" spans="1:10" x14ac:dyDescent="0.25">
      <c r="A488" s="3">
        <v>44400</v>
      </c>
      <c r="B488" s="6" t="s">
        <v>72</v>
      </c>
      <c r="C488" s="4" t="s">
        <v>37</v>
      </c>
      <c r="D488" s="5">
        <v>85.76</v>
      </c>
      <c r="E488" s="1">
        <v>8</v>
      </c>
      <c r="F488" s="1">
        <f>InputData[[#This Row],[UNIT PRICE ($)]]*InputData[[#This Row],[QUANTITY]]</f>
        <v>686.08</v>
      </c>
      <c r="G488" s="1" t="str">
        <f>VLOOKUP(InputData[[#This Row],[CUSTOMER NAME]],Country[#All],2,0)</f>
        <v>Brazil</v>
      </c>
      <c r="H488" s="1" t="str">
        <f>VLOOKUP(InputData[[#This Row],[CUSTOMER NAME]],Country[#All],3,0)</f>
        <v>Export</v>
      </c>
      <c r="I488" s="1" t="str">
        <f>TEXT(InputData[[#This Row],[DATE]],"MMM")</f>
        <v>Jul</v>
      </c>
      <c r="J488" s="1">
        <f>WEEKNUM(InputData[[#This Row],[DATE]])</f>
        <v>30</v>
      </c>
    </row>
    <row r="489" spans="1:10" x14ac:dyDescent="0.25">
      <c r="A489" s="3">
        <v>44400</v>
      </c>
      <c r="B489" s="6" t="s">
        <v>83</v>
      </c>
      <c r="C489" s="4" t="s">
        <v>36</v>
      </c>
      <c r="D489" s="5">
        <v>96.3</v>
      </c>
      <c r="E489" s="1">
        <v>7</v>
      </c>
      <c r="F489" s="1">
        <f>InputData[[#This Row],[UNIT PRICE ($)]]*InputData[[#This Row],[QUANTITY]]</f>
        <v>674.1</v>
      </c>
      <c r="G489" s="1" t="str">
        <f>VLOOKUP(InputData[[#This Row],[CUSTOMER NAME]],Country[#All],2,0)</f>
        <v>India</v>
      </c>
      <c r="H489" s="1" t="str">
        <f>VLOOKUP(InputData[[#This Row],[CUSTOMER NAME]],Country[#All],3,0)</f>
        <v>North</v>
      </c>
      <c r="I489" s="1" t="str">
        <f>TEXT(InputData[[#This Row],[DATE]],"MMM")</f>
        <v>Jul</v>
      </c>
      <c r="J489" s="1">
        <f>WEEKNUM(InputData[[#This Row],[DATE]])</f>
        <v>30</v>
      </c>
    </row>
    <row r="490" spans="1:10" x14ac:dyDescent="0.25">
      <c r="A490" s="3">
        <v>44401</v>
      </c>
      <c r="B490" s="6" t="s">
        <v>68</v>
      </c>
      <c r="C490" s="4" t="s">
        <v>6</v>
      </c>
      <c r="D490" s="5">
        <v>85.5</v>
      </c>
      <c r="E490" s="1">
        <v>14</v>
      </c>
      <c r="F490" s="1">
        <f>InputData[[#This Row],[UNIT PRICE ($)]]*InputData[[#This Row],[QUANTITY]]</f>
        <v>1197</v>
      </c>
      <c r="G490" s="1" t="str">
        <f>VLOOKUP(InputData[[#This Row],[CUSTOMER NAME]],Country[#All],2,0)</f>
        <v>Russia</v>
      </c>
      <c r="H490" s="1" t="str">
        <f>VLOOKUP(InputData[[#This Row],[CUSTOMER NAME]],Country[#All],3,0)</f>
        <v>Export</v>
      </c>
      <c r="I490" s="1" t="str">
        <f>TEXT(InputData[[#This Row],[DATE]],"MMM")</f>
        <v>Jul</v>
      </c>
      <c r="J490" s="1">
        <f>WEEKNUM(InputData[[#This Row],[DATE]])</f>
        <v>30</v>
      </c>
    </row>
    <row r="491" spans="1:10" x14ac:dyDescent="0.25">
      <c r="A491" s="3">
        <v>44401</v>
      </c>
      <c r="B491" s="6" t="s">
        <v>73</v>
      </c>
      <c r="C491" s="4" t="s">
        <v>9</v>
      </c>
      <c r="D491" s="5">
        <v>7.8599999999999994</v>
      </c>
      <c r="E491" s="1">
        <v>4</v>
      </c>
      <c r="F491" s="1">
        <f>InputData[[#This Row],[UNIT PRICE ($)]]*InputData[[#This Row],[QUANTITY]]</f>
        <v>31.439999999999998</v>
      </c>
      <c r="G491" s="1" t="str">
        <f>VLOOKUP(InputData[[#This Row],[CUSTOMER NAME]],Country[#All],2,0)</f>
        <v>India</v>
      </c>
      <c r="H491" s="1" t="str">
        <f>VLOOKUP(InputData[[#This Row],[CUSTOMER NAME]],Country[#All],3,0)</f>
        <v>East</v>
      </c>
      <c r="I491" s="1" t="str">
        <f>TEXT(InputData[[#This Row],[DATE]],"MMM")</f>
        <v>Jul</v>
      </c>
      <c r="J491" s="1">
        <f>WEEKNUM(InputData[[#This Row],[DATE]])</f>
        <v>30</v>
      </c>
    </row>
    <row r="492" spans="1:10" x14ac:dyDescent="0.25">
      <c r="A492" s="3">
        <v>44401</v>
      </c>
      <c r="B492" s="6" t="s">
        <v>84</v>
      </c>
      <c r="C492" s="4" t="s">
        <v>27</v>
      </c>
      <c r="D492" s="5">
        <v>57.120000000000005</v>
      </c>
      <c r="E492" s="1">
        <v>1</v>
      </c>
      <c r="F492" s="1">
        <f>InputData[[#This Row],[UNIT PRICE ($)]]*InputData[[#This Row],[QUANTITY]]</f>
        <v>57.120000000000005</v>
      </c>
      <c r="G492" s="1" t="str">
        <f>VLOOKUP(InputData[[#This Row],[CUSTOMER NAME]],Country[#All],2,0)</f>
        <v>Ethiopia</v>
      </c>
      <c r="H492" s="1" t="str">
        <f>VLOOKUP(InputData[[#This Row],[CUSTOMER NAME]],Country[#All],3,0)</f>
        <v>Export</v>
      </c>
      <c r="I492" s="1" t="str">
        <f>TEXT(InputData[[#This Row],[DATE]],"MMM")</f>
        <v>Jul</v>
      </c>
      <c r="J492" s="1">
        <f>WEEKNUM(InputData[[#This Row],[DATE]])</f>
        <v>30</v>
      </c>
    </row>
    <row r="493" spans="1:10" x14ac:dyDescent="0.25">
      <c r="A493" s="3">
        <v>44402</v>
      </c>
      <c r="B493" s="6" t="s">
        <v>72</v>
      </c>
      <c r="C493" s="4" t="s">
        <v>3</v>
      </c>
      <c r="D493" s="5">
        <v>80.94</v>
      </c>
      <c r="E493" s="1">
        <v>13</v>
      </c>
      <c r="F493" s="1">
        <f>InputData[[#This Row],[UNIT PRICE ($)]]*InputData[[#This Row],[QUANTITY]]</f>
        <v>1052.22</v>
      </c>
      <c r="G493" s="1" t="str">
        <f>VLOOKUP(InputData[[#This Row],[CUSTOMER NAME]],Country[#All],2,0)</f>
        <v>Brazil</v>
      </c>
      <c r="H493" s="1" t="str">
        <f>VLOOKUP(InputData[[#This Row],[CUSTOMER NAME]],Country[#All],3,0)</f>
        <v>Export</v>
      </c>
      <c r="I493" s="1" t="str">
        <f>TEXT(InputData[[#This Row],[DATE]],"MMM")</f>
        <v>Jul</v>
      </c>
      <c r="J493" s="1">
        <f>WEEKNUM(InputData[[#This Row],[DATE]])</f>
        <v>31</v>
      </c>
    </row>
    <row r="494" spans="1:10" x14ac:dyDescent="0.25">
      <c r="A494" s="3">
        <v>44402</v>
      </c>
      <c r="B494" s="6" t="s">
        <v>82</v>
      </c>
      <c r="C494" s="4" t="s">
        <v>44</v>
      </c>
      <c r="D494" s="5">
        <v>82.08</v>
      </c>
      <c r="E494" s="1">
        <v>2</v>
      </c>
      <c r="F494" s="1">
        <f>InputData[[#This Row],[UNIT PRICE ($)]]*InputData[[#This Row],[QUANTITY]]</f>
        <v>164.16</v>
      </c>
      <c r="G494" s="1" t="str">
        <f>VLOOKUP(InputData[[#This Row],[CUSTOMER NAME]],Country[#All],2,0)</f>
        <v>India</v>
      </c>
      <c r="H494" s="1" t="str">
        <f>VLOOKUP(InputData[[#This Row],[CUSTOMER NAME]],Country[#All],3,0)</f>
        <v>Western</v>
      </c>
      <c r="I494" s="1" t="str">
        <f>TEXT(InputData[[#This Row],[DATE]],"MMM")</f>
        <v>Jul</v>
      </c>
      <c r="J494" s="1">
        <f>WEEKNUM(InputData[[#This Row],[DATE]])</f>
        <v>31</v>
      </c>
    </row>
    <row r="495" spans="1:10" x14ac:dyDescent="0.25">
      <c r="A495" s="3">
        <v>44402</v>
      </c>
      <c r="B495" s="6" t="s">
        <v>87</v>
      </c>
      <c r="C495" s="4" t="s">
        <v>17</v>
      </c>
      <c r="D495" s="5">
        <v>156.78</v>
      </c>
      <c r="E495" s="1">
        <v>12</v>
      </c>
      <c r="F495" s="1">
        <f>InputData[[#This Row],[UNIT PRICE ($)]]*InputData[[#This Row],[QUANTITY]]</f>
        <v>1881.3600000000001</v>
      </c>
      <c r="G495" s="1" t="str">
        <f>VLOOKUP(InputData[[#This Row],[CUSTOMER NAME]],Country[#All],2,0)</f>
        <v>France</v>
      </c>
      <c r="H495" s="1" t="str">
        <f>VLOOKUP(InputData[[#This Row],[CUSTOMER NAME]],Country[#All],3,0)</f>
        <v>Export</v>
      </c>
      <c r="I495" s="1" t="str">
        <f>TEXT(InputData[[#This Row],[DATE]],"MMM")</f>
        <v>Jul</v>
      </c>
      <c r="J495" s="1">
        <f>WEEKNUM(InputData[[#This Row],[DATE]])</f>
        <v>31</v>
      </c>
    </row>
    <row r="496" spans="1:10" x14ac:dyDescent="0.25">
      <c r="A496" s="3">
        <v>44403</v>
      </c>
      <c r="B496" s="6" t="s">
        <v>84</v>
      </c>
      <c r="C496" s="4" t="s">
        <v>26</v>
      </c>
      <c r="D496" s="5">
        <v>24.66</v>
      </c>
      <c r="E496" s="1">
        <v>1</v>
      </c>
      <c r="F496" s="1">
        <f>InputData[[#This Row],[UNIT PRICE ($)]]*InputData[[#This Row],[QUANTITY]]</f>
        <v>24.66</v>
      </c>
      <c r="G496" s="1" t="str">
        <f>VLOOKUP(InputData[[#This Row],[CUSTOMER NAME]],Country[#All],2,0)</f>
        <v>Ethiopia</v>
      </c>
      <c r="H496" s="1" t="str">
        <f>VLOOKUP(InputData[[#This Row],[CUSTOMER NAME]],Country[#All],3,0)</f>
        <v>Export</v>
      </c>
      <c r="I496" s="1" t="str">
        <f>TEXT(InputData[[#This Row],[DATE]],"MMM")</f>
        <v>Jul</v>
      </c>
      <c r="J496" s="1">
        <f>WEEKNUM(InputData[[#This Row],[DATE]])</f>
        <v>31</v>
      </c>
    </row>
    <row r="497" spans="1:10" x14ac:dyDescent="0.25">
      <c r="A497" s="3">
        <v>44403</v>
      </c>
      <c r="B497" s="6" t="s">
        <v>116</v>
      </c>
      <c r="C497" s="4" t="s">
        <v>3</v>
      </c>
      <c r="D497" s="5">
        <v>80.94</v>
      </c>
      <c r="E497" s="1">
        <v>10</v>
      </c>
      <c r="F497" s="1">
        <f>InputData[[#This Row],[UNIT PRICE ($)]]*InputData[[#This Row],[QUANTITY]]</f>
        <v>809.4</v>
      </c>
      <c r="G497" s="1" t="str">
        <f>VLOOKUP(InputData[[#This Row],[CUSTOMER NAME]],Country[#All],2,0)</f>
        <v>Germany</v>
      </c>
      <c r="H497" s="1" t="str">
        <f>VLOOKUP(InputData[[#This Row],[CUSTOMER NAME]],Country[#All],3,0)</f>
        <v>Export</v>
      </c>
      <c r="I497" s="1" t="str">
        <f>TEXT(InputData[[#This Row],[DATE]],"MMM")</f>
        <v>Jul</v>
      </c>
      <c r="J497" s="1">
        <f>WEEKNUM(InputData[[#This Row],[DATE]])</f>
        <v>31</v>
      </c>
    </row>
    <row r="498" spans="1:10" x14ac:dyDescent="0.25">
      <c r="A498" s="3">
        <v>44404</v>
      </c>
      <c r="B498" s="6" t="s">
        <v>70</v>
      </c>
      <c r="C498" s="4" t="s">
        <v>34</v>
      </c>
      <c r="D498" s="5">
        <v>58.3</v>
      </c>
      <c r="E498" s="1">
        <v>25</v>
      </c>
      <c r="F498" s="1">
        <f>InputData[[#This Row],[UNIT PRICE ($)]]*InputData[[#This Row],[QUANTITY]]</f>
        <v>1457.5</v>
      </c>
      <c r="G498" s="1" t="str">
        <f>VLOOKUP(InputData[[#This Row],[CUSTOMER NAME]],Country[#All],2,0)</f>
        <v>Mexico</v>
      </c>
      <c r="H498" s="1" t="str">
        <f>VLOOKUP(InputData[[#This Row],[CUSTOMER NAME]],Country[#All],3,0)</f>
        <v>Export</v>
      </c>
      <c r="I498" s="1" t="str">
        <f>TEXT(InputData[[#This Row],[DATE]],"MMM")</f>
        <v>Jul</v>
      </c>
      <c r="J498" s="1">
        <f>WEEKNUM(InputData[[#This Row],[DATE]])</f>
        <v>31</v>
      </c>
    </row>
    <row r="499" spans="1:10" x14ac:dyDescent="0.25">
      <c r="A499" s="3">
        <v>44404</v>
      </c>
      <c r="B499" s="6" t="s">
        <v>81</v>
      </c>
      <c r="C499" s="4" t="s">
        <v>36</v>
      </c>
      <c r="D499" s="5">
        <v>96.3</v>
      </c>
      <c r="E499" s="1">
        <v>38</v>
      </c>
      <c r="F499" s="1">
        <f>InputData[[#This Row],[UNIT PRICE ($)]]*InputData[[#This Row],[QUANTITY]]</f>
        <v>3659.4</v>
      </c>
      <c r="G499" s="1" t="str">
        <f>VLOOKUP(InputData[[#This Row],[CUSTOMER NAME]],Country[#All],2,0)</f>
        <v>India</v>
      </c>
      <c r="H499" s="1" t="str">
        <f>VLOOKUP(InputData[[#This Row],[CUSTOMER NAME]],Country[#All],3,0)</f>
        <v>East</v>
      </c>
      <c r="I499" s="1" t="str">
        <f>TEXT(InputData[[#This Row],[DATE]],"MMM")</f>
        <v>Jul</v>
      </c>
      <c r="J499" s="1">
        <f>WEEKNUM(InputData[[#This Row],[DATE]])</f>
        <v>31</v>
      </c>
    </row>
    <row r="500" spans="1:10" x14ac:dyDescent="0.25">
      <c r="A500" s="3">
        <v>44406</v>
      </c>
      <c r="B500" s="6" t="s">
        <v>60</v>
      </c>
      <c r="C500" s="4" t="s">
        <v>30</v>
      </c>
      <c r="D500" s="5">
        <v>201.28</v>
      </c>
      <c r="E500" s="1">
        <v>37</v>
      </c>
      <c r="F500" s="1">
        <f>InputData[[#This Row],[UNIT PRICE ($)]]*InputData[[#This Row],[QUANTITY]]</f>
        <v>7447.36</v>
      </c>
      <c r="G500" s="1" t="str">
        <f>VLOOKUP(InputData[[#This Row],[CUSTOMER NAME]],Country[#All],2,0)</f>
        <v>Nigeria</v>
      </c>
      <c r="H500" s="1" t="str">
        <f>VLOOKUP(InputData[[#This Row],[CUSTOMER NAME]],Country[#All],3,0)</f>
        <v>Export</v>
      </c>
      <c r="I500" s="1" t="str">
        <f>TEXT(InputData[[#This Row],[DATE]],"MMM")</f>
        <v>Jul</v>
      </c>
      <c r="J500" s="1">
        <f>WEEKNUM(InputData[[#This Row],[DATE]])</f>
        <v>31</v>
      </c>
    </row>
    <row r="501" spans="1:10" x14ac:dyDescent="0.25">
      <c r="A501" s="3">
        <v>44406</v>
      </c>
      <c r="B501" s="6" t="s">
        <v>73</v>
      </c>
      <c r="C501" s="4" t="s">
        <v>44</v>
      </c>
      <c r="D501" s="5">
        <v>82.08</v>
      </c>
      <c r="E501" s="1">
        <v>15</v>
      </c>
      <c r="F501" s="1">
        <f>InputData[[#This Row],[UNIT PRICE ($)]]*InputData[[#This Row],[QUANTITY]]</f>
        <v>1231.2</v>
      </c>
      <c r="G501" s="1" t="str">
        <f>VLOOKUP(InputData[[#This Row],[CUSTOMER NAME]],Country[#All],2,0)</f>
        <v>India</v>
      </c>
      <c r="H501" s="1" t="str">
        <f>VLOOKUP(InputData[[#This Row],[CUSTOMER NAME]],Country[#All],3,0)</f>
        <v>East</v>
      </c>
      <c r="I501" s="1" t="str">
        <f>TEXT(InputData[[#This Row],[DATE]],"MMM")</f>
        <v>Jul</v>
      </c>
      <c r="J501" s="1">
        <f>WEEKNUM(InputData[[#This Row],[DATE]])</f>
        <v>31</v>
      </c>
    </row>
    <row r="502" spans="1:10" x14ac:dyDescent="0.25">
      <c r="A502" s="3">
        <v>44407</v>
      </c>
      <c r="B502" s="6" t="s">
        <v>71</v>
      </c>
      <c r="C502" s="4" t="s">
        <v>6</v>
      </c>
      <c r="D502" s="5">
        <v>85.5</v>
      </c>
      <c r="E502" s="1">
        <v>25</v>
      </c>
      <c r="F502" s="1">
        <f>InputData[[#This Row],[UNIT PRICE ($)]]*InputData[[#This Row],[QUANTITY]]</f>
        <v>2137.5</v>
      </c>
      <c r="G502" s="1" t="str">
        <f>VLOOKUP(InputData[[#This Row],[CUSTOMER NAME]],Country[#All],2,0)</f>
        <v>India</v>
      </c>
      <c r="H502" s="1" t="str">
        <f>VLOOKUP(InputData[[#This Row],[CUSTOMER NAME]],Country[#All],3,0)</f>
        <v>Central</v>
      </c>
      <c r="I502" s="1" t="str">
        <f>TEXT(InputData[[#This Row],[DATE]],"MMM")</f>
        <v>Jul</v>
      </c>
      <c r="J502" s="1">
        <f>WEEKNUM(InputData[[#This Row],[DATE]])</f>
        <v>31</v>
      </c>
    </row>
    <row r="503" spans="1:10" x14ac:dyDescent="0.25">
      <c r="A503" s="3">
        <v>44407</v>
      </c>
      <c r="B503" s="6" t="s">
        <v>87</v>
      </c>
      <c r="C503" s="4" t="s">
        <v>36</v>
      </c>
      <c r="D503" s="5">
        <v>96.3</v>
      </c>
      <c r="E503" s="1">
        <v>12</v>
      </c>
      <c r="F503" s="1">
        <f>InputData[[#This Row],[UNIT PRICE ($)]]*InputData[[#This Row],[QUANTITY]]</f>
        <v>1155.5999999999999</v>
      </c>
      <c r="G503" s="1" t="str">
        <f>VLOOKUP(InputData[[#This Row],[CUSTOMER NAME]],Country[#All],2,0)</f>
        <v>France</v>
      </c>
      <c r="H503" s="1" t="str">
        <f>VLOOKUP(InputData[[#This Row],[CUSTOMER NAME]],Country[#All],3,0)</f>
        <v>Export</v>
      </c>
      <c r="I503" s="1" t="str">
        <f>TEXT(InputData[[#This Row],[DATE]],"MMM")</f>
        <v>Jul</v>
      </c>
      <c r="J503" s="1">
        <f>WEEKNUM(InputData[[#This Row],[DATE]])</f>
        <v>31</v>
      </c>
    </row>
    <row r="504" spans="1:10" x14ac:dyDescent="0.25">
      <c r="A504" s="3">
        <v>44408</v>
      </c>
      <c r="B504" s="6" t="s">
        <v>69</v>
      </c>
      <c r="C504" s="4" t="s">
        <v>12</v>
      </c>
      <c r="D504" s="5">
        <v>94.17</v>
      </c>
      <c r="E504" s="1">
        <v>12</v>
      </c>
      <c r="F504" s="1">
        <f>InputData[[#This Row],[UNIT PRICE ($)]]*InputData[[#This Row],[QUANTITY]]</f>
        <v>1130.04</v>
      </c>
      <c r="G504" s="1" t="str">
        <f>VLOOKUP(InputData[[#This Row],[CUSTOMER NAME]],Country[#All],2,0)</f>
        <v>India</v>
      </c>
      <c r="H504" s="1" t="str">
        <f>VLOOKUP(InputData[[#This Row],[CUSTOMER NAME]],Country[#All],3,0)</f>
        <v>South</v>
      </c>
      <c r="I504" s="1" t="str">
        <f>TEXT(InputData[[#This Row],[DATE]],"MMM")</f>
        <v>Jul</v>
      </c>
      <c r="J504" s="1">
        <f>WEEKNUM(InputData[[#This Row],[DATE]])</f>
        <v>31</v>
      </c>
    </row>
    <row r="505" spans="1:10" x14ac:dyDescent="0.25">
      <c r="A505" s="3">
        <v>44408</v>
      </c>
      <c r="B505" s="6" t="s">
        <v>83</v>
      </c>
      <c r="C505" s="4" t="s">
        <v>42</v>
      </c>
      <c r="D505" s="5">
        <v>162</v>
      </c>
      <c r="E505" s="1">
        <v>31</v>
      </c>
      <c r="F505" s="1">
        <f>InputData[[#This Row],[UNIT PRICE ($)]]*InputData[[#This Row],[QUANTITY]]</f>
        <v>5022</v>
      </c>
      <c r="G505" s="1" t="str">
        <f>VLOOKUP(InputData[[#This Row],[CUSTOMER NAME]],Country[#All],2,0)</f>
        <v>India</v>
      </c>
      <c r="H505" s="1" t="str">
        <f>VLOOKUP(InputData[[#This Row],[CUSTOMER NAME]],Country[#All],3,0)</f>
        <v>North</v>
      </c>
      <c r="I505" s="1" t="str">
        <f>TEXT(InputData[[#This Row],[DATE]],"MMM")</f>
        <v>Jul</v>
      </c>
      <c r="J505" s="1">
        <f>WEEKNUM(InputData[[#This Row],[DATE]])</f>
        <v>31</v>
      </c>
    </row>
    <row r="506" spans="1:10" x14ac:dyDescent="0.25">
      <c r="A506" s="3">
        <v>44409</v>
      </c>
      <c r="B506" s="6" t="s">
        <v>88</v>
      </c>
      <c r="C506" s="4" t="s">
        <v>1</v>
      </c>
      <c r="D506" s="5">
        <v>103.88</v>
      </c>
      <c r="E506" s="1">
        <v>11</v>
      </c>
      <c r="F506" s="1">
        <f>InputData[[#This Row],[UNIT PRICE ($)]]*InputData[[#This Row],[QUANTITY]]</f>
        <v>1142.6799999999998</v>
      </c>
      <c r="G506" s="1" t="str">
        <f>VLOOKUP(InputData[[#This Row],[CUSTOMER NAME]],Country[#All],2,0)</f>
        <v>India</v>
      </c>
      <c r="H506" s="1" t="str">
        <f>VLOOKUP(InputData[[#This Row],[CUSTOMER NAME]],Country[#All],3,0)</f>
        <v>South</v>
      </c>
      <c r="I506" s="1" t="str">
        <f>TEXT(InputData[[#This Row],[DATE]],"MMM")</f>
        <v>Aug</v>
      </c>
      <c r="J506" s="1">
        <f>WEEKNUM(InputData[[#This Row],[DATE]])</f>
        <v>32</v>
      </c>
    </row>
    <row r="507" spans="1:10" x14ac:dyDescent="0.25">
      <c r="A507" s="3">
        <v>44410</v>
      </c>
      <c r="B507" s="6" t="s">
        <v>75</v>
      </c>
      <c r="C507" s="4" t="s">
        <v>23</v>
      </c>
      <c r="D507" s="5">
        <v>149.46</v>
      </c>
      <c r="E507" s="1">
        <v>3</v>
      </c>
      <c r="F507" s="1">
        <f>InputData[[#This Row],[UNIT PRICE ($)]]*InputData[[#This Row],[QUANTITY]]</f>
        <v>448.38</v>
      </c>
      <c r="G507" s="1" t="str">
        <f>VLOOKUP(InputData[[#This Row],[CUSTOMER NAME]],Country[#All],2,0)</f>
        <v>Russia</v>
      </c>
      <c r="H507" s="1" t="str">
        <f>VLOOKUP(InputData[[#This Row],[CUSTOMER NAME]],Country[#All],3,0)</f>
        <v>Export</v>
      </c>
      <c r="I507" s="1" t="str">
        <f>TEXT(InputData[[#This Row],[DATE]],"MMM")</f>
        <v>Aug</v>
      </c>
      <c r="J507" s="1">
        <f>WEEKNUM(InputData[[#This Row],[DATE]])</f>
        <v>32</v>
      </c>
    </row>
    <row r="508" spans="1:10" x14ac:dyDescent="0.25">
      <c r="A508" s="3">
        <v>44411</v>
      </c>
      <c r="B508" s="6" t="s">
        <v>67</v>
      </c>
      <c r="C508" s="4" t="s">
        <v>34</v>
      </c>
      <c r="D508" s="5">
        <v>58.3</v>
      </c>
      <c r="E508" s="1">
        <v>12</v>
      </c>
      <c r="F508" s="1">
        <f>InputData[[#This Row],[UNIT PRICE ($)]]*InputData[[#This Row],[QUANTITY]]</f>
        <v>699.59999999999991</v>
      </c>
      <c r="G508" s="1" t="str">
        <f>VLOOKUP(InputData[[#This Row],[CUSTOMER NAME]],Country[#All],2,0)</f>
        <v>United Kingdom</v>
      </c>
      <c r="H508" s="1" t="str">
        <f>VLOOKUP(InputData[[#This Row],[CUSTOMER NAME]],Country[#All],3,0)</f>
        <v>Export</v>
      </c>
      <c r="I508" s="1" t="str">
        <f>TEXT(InputData[[#This Row],[DATE]],"MMM")</f>
        <v>Aug</v>
      </c>
      <c r="J508" s="1">
        <f>WEEKNUM(InputData[[#This Row],[DATE]])</f>
        <v>32</v>
      </c>
    </row>
    <row r="509" spans="1:10" x14ac:dyDescent="0.25">
      <c r="A509" s="3">
        <v>44411</v>
      </c>
      <c r="B509" s="6" t="s">
        <v>80</v>
      </c>
      <c r="C509" s="4" t="s">
        <v>22</v>
      </c>
      <c r="D509" s="5">
        <v>141.57</v>
      </c>
      <c r="E509" s="1">
        <v>13</v>
      </c>
      <c r="F509" s="1">
        <f>InputData[[#This Row],[UNIT PRICE ($)]]*InputData[[#This Row],[QUANTITY]]</f>
        <v>1840.4099999999999</v>
      </c>
      <c r="G509" s="1" t="str">
        <f>VLOOKUP(InputData[[#This Row],[CUSTOMER NAME]],Country[#All],2,0)</f>
        <v>South Africa</v>
      </c>
      <c r="H509" s="1" t="str">
        <f>VLOOKUP(InputData[[#This Row],[CUSTOMER NAME]],Country[#All],3,0)</f>
        <v>Export</v>
      </c>
      <c r="I509" s="1" t="str">
        <f>TEXT(InputData[[#This Row],[DATE]],"MMM")</f>
        <v>Aug</v>
      </c>
      <c r="J509" s="1">
        <f>WEEKNUM(InputData[[#This Row],[DATE]])</f>
        <v>32</v>
      </c>
    </row>
    <row r="510" spans="1:10" x14ac:dyDescent="0.25">
      <c r="A510" s="3">
        <v>44411</v>
      </c>
      <c r="B510" s="6" t="s">
        <v>80</v>
      </c>
      <c r="C510" s="4" t="s">
        <v>12</v>
      </c>
      <c r="D510" s="5">
        <v>94.17</v>
      </c>
      <c r="E510" s="1">
        <v>5</v>
      </c>
      <c r="F510" s="1">
        <f>InputData[[#This Row],[UNIT PRICE ($)]]*InputData[[#This Row],[QUANTITY]]</f>
        <v>470.85</v>
      </c>
      <c r="G510" s="1" t="str">
        <f>VLOOKUP(InputData[[#This Row],[CUSTOMER NAME]],Country[#All],2,0)</f>
        <v>South Africa</v>
      </c>
      <c r="H510" s="1" t="str">
        <f>VLOOKUP(InputData[[#This Row],[CUSTOMER NAME]],Country[#All],3,0)</f>
        <v>Export</v>
      </c>
      <c r="I510" s="1" t="str">
        <f>TEXT(InputData[[#This Row],[DATE]],"MMM")</f>
        <v>Aug</v>
      </c>
      <c r="J510" s="1">
        <f>WEEKNUM(InputData[[#This Row],[DATE]])</f>
        <v>32</v>
      </c>
    </row>
    <row r="511" spans="1:10" x14ac:dyDescent="0.25">
      <c r="A511" s="3">
        <v>44411</v>
      </c>
      <c r="B511" s="6" t="s">
        <v>116</v>
      </c>
      <c r="C511" s="4" t="s">
        <v>14</v>
      </c>
      <c r="D511" s="5">
        <v>146.72</v>
      </c>
      <c r="E511" s="1">
        <v>8</v>
      </c>
      <c r="F511" s="1">
        <f>InputData[[#This Row],[UNIT PRICE ($)]]*InputData[[#This Row],[QUANTITY]]</f>
        <v>1173.76</v>
      </c>
      <c r="G511" s="1" t="str">
        <f>VLOOKUP(InputData[[#This Row],[CUSTOMER NAME]],Country[#All],2,0)</f>
        <v>Germany</v>
      </c>
      <c r="H511" s="1" t="str">
        <f>VLOOKUP(InputData[[#This Row],[CUSTOMER NAME]],Country[#All],3,0)</f>
        <v>Export</v>
      </c>
      <c r="I511" s="1" t="str">
        <f>TEXT(InputData[[#This Row],[DATE]],"MMM")</f>
        <v>Aug</v>
      </c>
      <c r="J511" s="1">
        <f>WEEKNUM(InputData[[#This Row],[DATE]])</f>
        <v>32</v>
      </c>
    </row>
    <row r="512" spans="1:10" x14ac:dyDescent="0.25">
      <c r="A512" s="3">
        <v>44412</v>
      </c>
      <c r="B512" s="6" t="s">
        <v>61</v>
      </c>
      <c r="C512" s="4" t="s">
        <v>26</v>
      </c>
      <c r="D512" s="5">
        <v>24.66</v>
      </c>
      <c r="E512" s="1">
        <v>16</v>
      </c>
      <c r="F512" s="1">
        <f>InputData[[#This Row],[UNIT PRICE ($)]]*InputData[[#This Row],[QUANTITY]]</f>
        <v>394.56</v>
      </c>
      <c r="G512" s="1" t="str">
        <f>VLOOKUP(InputData[[#This Row],[CUSTOMER NAME]],Country[#All],2,0)</f>
        <v>Bangladesh</v>
      </c>
      <c r="H512" s="1" t="str">
        <f>VLOOKUP(InputData[[#This Row],[CUSTOMER NAME]],Country[#All],3,0)</f>
        <v>Export</v>
      </c>
      <c r="I512" s="1" t="str">
        <f>TEXT(InputData[[#This Row],[DATE]],"MMM")</f>
        <v>Aug</v>
      </c>
      <c r="J512" s="1">
        <f>WEEKNUM(InputData[[#This Row],[DATE]])</f>
        <v>32</v>
      </c>
    </row>
    <row r="513" spans="1:10" x14ac:dyDescent="0.25">
      <c r="A513" s="3">
        <v>44413</v>
      </c>
      <c r="B513" s="6" t="s">
        <v>70</v>
      </c>
      <c r="C513" s="4" t="s">
        <v>28</v>
      </c>
      <c r="D513" s="5">
        <v>41.81</v>
      </c>
      <c r="E513" s="1">
        <v>14</v>
      </c>
      <c r="F513" s="1">
        <f>InputData[[#This Row],[UNIT PRICE ($)]]*InputData[[#This Row],[QUANTITY]]</f>
        <v>585.34</v>
      </c>
      <c r="G513" s="1" t="str">
        <f>VLOOKUP(InputData[[#This Row],[CUSTOMER NAME]],Country[#All],2,0)</f>
        <v>Mexico</v>
      </c>
      <c r="H513" s="1" t="str">
        <f>VLOOKUP(InputData[[#This Row],[CUSTOMER NAME]],Country[#All],3,0)</f>
        <v>Export</v>
      </c>
      <c r="I513" s="1" t="str">
        <f>TEXT(InputData[[#This Row],[DATE]],"MMM")</f>
        <v>Aug</v>
      </c>
      <c r="J513" s="1">
        <f>WEEKNUM(InputData[[#This Row],[DATE]])</f>
        <v>32</v>
      </c>
    </row>
    <row r="514" spans="1:10" x14ac:dyDescent="0.25">
      <c r="A514" s="3">
        <v>44414</v>
      </c>
      <c r="B514" s="6" t="s">
        <v>64</v>
      </c>
      <c r="C514" s="4" t="s">
        <v>37</v>
      </c>
      <c r="D514" s="5">
        <v>85.76</v>
      </c>
      <c r="E514" s="1">
        <v>1</v>
      </c>
      <c r="F514" s="1">
        <f>InputData[[#This Row],[UNIT PRICE ($)]]*InputData[[#This Row],[QUANTITY]]</f>
        <v>85.76</v>
      </c>
      <c r="G514" s="1" t="str">
        <f>VLOOKUP(InputData[[#This Row],[CUSTOMER NAME]],Country[#All],2,0)</f>
        <v>India</v>
      </c>
      <c r="H514" s="1" t="str">
        <f>VLOOKUP(InputData[[#This Row],[CUSTOMER NAME]],Country[#All],3,0)</f>
        <v>Northeast</v>
      </c>
      <c r="I514" s="1" t="str">
        <f>TEXT(InputData[[#This Row],[DATE]],"MMM")</f>
        <v>Aug</v>
      </c>
      <c r="J514" s="1">
        <f>WEEKNUM(InputData[[#This Row],[DATE]])</f>
        <v>32</v>
      </c>
    </row>
    <row r="515" spans="1:10" x14ac:dyDescent="0.25">
      <c r="A515" s="3">
        <v>44414</v>
      </c>
      <c r="B515" s="6" t="s">
        <v>80</v>
      </c>
      <c r="C515" s="4" t="s">
        <v>16</v>
      </c>
      <c r="D515" s="5">
        <v>16.64</v>
      </c>
      <c r="E515" s="1">
        <v>9</v>
      </c>
      <c r="F515" s="1">
        <f>InputData[[#This Row],[UNIT PRICE ($)]]*InputData[[#This Row],[QUANTITY]]</f>
        <v>149.76</v>
      </c>
      <c r="G515" s="1" t="str">
        <f>VLOOKUP(InputData[[#This Row],[CUSTOMER NAME]],Country[#All],2,0)</f>
        <v>South Africa</v>
      </c>
      <c r="H515" s="1" t="str">
        <f>VLOOKUP(InputData[[#This Row],[CUSTOMER NAME]],Country[#All],3,0)</f>
        <v>Export</v>
      </c>
      <c r="I515" s="1" t="str">
        <f>TEXT(InputData[[#This Row],[DATE]],"MMM")</f>
        <v>Aug</v>
      </c>
      <c r="J515" s="1">
        <f>WEEKNUM(InputData[[#This Row],[DATE]])</f>
        <v>32</v>
      </c>
    </row>
    <row r="516" spans="1:10" x14ac:dyDescent="0.25">
      <c r="A516" s="3">
        <v>44416</v>
      </c>
      <c r="B516" s="6" t="s">
        <v>63</v>
      </c>
      <c r="C516" s="4" t="s">
        <v>21</v>
      </c>
      <c r="D516" s="5">
        <v>162.54</v>
      </c>
      <c r="E516" s="1">
        <v>11</v>
      </c>
      <c r="F516" s="1">
        <f>InputData[[#This Row],[UNIT PRICE ($)]]*InputData[[#This Row],[QUANTITY]]</f>
        <v>1787.9399999999998</v>
      </c>
      <c r="G516" s="1" t="str">
        <f>VLOOKUP(InputData[[#This Row],[CUSTOMER NAME]],Country[#All],2,0)</f>
        <v>Saudi Arabia</v>
      </c>
      <c r="H516" s="1" t="str">
        <f>VLOOKUP(InputData[[#This Row],[CUSTOMER NAME]],Country[#All],3,0)</f>
        <v>Export</v>
      </c>
      <c r="I516" s="1" t="str">
        <f>TEXT(InputData[[#This Row],[DATE]],"MMM")</f>
        <v>Aug</v>
      </c>
      <c r="J516" s="1">
        <f>WEEKNUM(InputData[[#This Row],[DATE]])</f>
        <v>33</v>
      </c>
    </row>
    <row r="517" spans="1:10" x14ac:dyDescent="0.25">
      <c r="A517" s="3">
        <v>44416</v>
      </c>
      <c r="B517" s="6" t="s">
        <v>71</v>
      </c>
      <c r="C517" s="4" t="s">
        <v>32</v>
      </c>
      <c r="D517" s="5">
        <v>117.48</v>
      </c>
      <c r="E517" s="1">
        <v>12</v>
      </c>
      <c r="F517" s="1">
        <f>InputData[[#This Row],[UNIT PRICE ($)]]*InputData[[#This Row],[QUANTITY]]</f>
        <v>1409.76</v>
      </c>
      <c r="G517" s="1" t="str">
        <f>VLOOKUP(InputData[[#This Row],[CUSTOMER NAME]],Country[#All],2,0)</f>
        <v>India</v>
      </c>
      <c r="H517" s="1" t="str">
        <f>VLOOKUP(InputData[[#This Row],[CUSTOMER NAME]],Country[#All],3,0)</f>
        <v>Central</v>
      </c>
      <c r="I517" s="1" t="str">
        <f>TEXT(InputData[[#This Row],[DATE]],"MMM")</f>
        <v>Aug</v>
      </c>
      <c r="J517" s="1">
        <f>WEEKNUM(InputData[[#This Row],[DATE]])</f>
        <v>33</v>
      </c>
    </row>
    <row r="518" spans="1:10" x14ac:dyDescent="0.25">
      <c r="A518" s="3">
        <v>44416</v>
      </c>
      <c r="B518" s="6" t="s">
        <v>74</v>
      </c>
      <c r="C518" s="4" t="s">
        <v>15</v>
      </c>
      <c r="D518" s="5">
        <v>15.719999999999999</v>
      </c>
      <c r="E518" s="1">
        <v>38</v>
      </c>
      <c r="F518" s="1">
        <f>InputData[[#This Row],[UNIT PRICE ($)]]*InputData[[#This Row],[QUANTITY]]</f>
        <v>597.3599999999999</v>
      </c>
      <c r="G518" s="1" t="str">
        <f>VLOOKUP(InputData[[#This Row],[CUSTOMER NAME]],Country[#All],2,0)</f>
        <v>Brazil</v>
      </c>
      <c r="H518" s="1" t="str">
        <f>VLOOKUP(InputData[[#This Row],[CUSTOMER NAME]],Country[#All],3,0)</f>
        <v>Export</v>
      </c>
      <c r="I518" s="1" t="str">
        <f>TEXT(InputData[[#This Row],[DATE]],"MMM")</f>
        <v>Aug</v>
      </c>
      <c r="J518" s="1">
        <f>WEEKNUM(InputData[[#This Row],[DATE]])</f>
        <v>33</v>
      </c>
    </row>
    <row r="519" spans="1:10" x14ac:dyDescent="0.25">
      <c r="A519" s="3">
        <v>44416</v>
      </c>
      <c r="B519" s="6" t="s">
        <v>78</v>
      </c>
      <c r="C519" s="4" t="s">
        <v>16</v>
      </c>
      <c r="D519" s="5">
        <v>16.64</v>
      </c>
      <c r="E519" s="1">
        <v>2</v>
      </c>
      <c r="F519" s="1">
        <f>InputData[[#This Row],[UNIT PRICE ($)]]*InputData[[#This Row],[QUANTITY]]</f>
        <v>33.28</v>
      </c>
      <c r="G519" s="1" t="str">
        <f>VLOOKUP(InputData[[#This Row],[CUSTOMER NAME]],Country[#All],2,0)</f>
        <v>India</v>
      </c>
      <c r="H519" s="1" t="str">
        <f>VLOOKUP(InputData[[#This Row],[CUSTOMER NAME]],Country[#All],3,0)</f>
        <v>Central</v>
      </c>
      <c r="I519" s="1" t="str">
        <f>TEXT(InputData[[#This Row],[DATE]],"MMM")</f>
        <v>Aug</v>
      </c>
      <c r="J519" s="1">
        <f>WEEKNUM(InputData[[#This Row],[DATE]])</f>
        <v>33</v>
      </c>
    </row>
    <row r="520" spans="1:10" x14ac:dyDescent="0.25">
      <c r="A520" s="3">
        <v>44418</v>
      </c>
      <c r="B520" s="6" t="s">
        <v>109</v>
      </c>
      <c r="C520" s="4" t="s">
        <v>38</v>
      </c>
      <c r="D520" s="5">
        <v>79.92</v>
      </c>
      <c r="E520" s="1">
        <v>38</v>
      </c>
      <c r="F520" s="1">
        <f>InputData[[#This Row],[UNIT PRICE ($)]]*InputData[[#This Row],[QUANTITY]]</f>
        <v>3036.96</v>
      </c>
      <c r="G520" s="1" t="str">
        <f>VLOOKUP(InputData[[#This Row],[CUSTOMER NAME]],Country[#All],2,0)</f>
        <v>Pakistan</v>
      </c>
      <c r="H520" s="1" t="str">
        <f>VLOOKUP(InputData[[#This Row],[CUSTOMER NAME]],Country[#All],3,0)</f>
        <v>Export</v>
      </c>
      <c r="I520" s="1" t="str">
        <f>TEXT(InputData[[#This Row],[DATE]],"MMM")</f>
        <v>Aug</v>
      </c>
      <c r="J520" s="1">
        <f>WEEKNUM(InputData[[#This Row],[DATE]])</f>
        <v>33</v>
      </c>
    </row>
    <row r="521" spans="1:10" x14ac:dyDescent="0.25">
      <c r="A521" s="3">
        <v>44418</v>
      </c>
      <c r="B521" s="6" t="s">
        <v>84</v>
      </c>
      <c r="C521" s="4" t="s">
        <v>5</v>
      </c>
      <c r="D521" s="5">
        <v>155.61000000000001</v>
      </c>
      <c r="E521" s="1">
        <v>4</v>
      </c>
      <c r="F521" s="1">
        <f>InputData[[#This Row],[UNIT PRICE ($)]]*InputData[[#This Row],[QUANTITY]]</f>
        <v>622.44000000000005</v>
      </c>
      <c r="G521" s="1" t="str">
        <f>VLOOKUP(InputData[[#This Row],[CUSTOMER NAME]],Country[#All],2,0)</f>
        <v>Ethiopia</v>
      </c>
      <c r="H521" s="1" t="str">
        <f>VLOOKUP(InputData[[#This Row],[CUSTOMER NAME]],Country[#All],3,0)</f>
        <v>Export</v>
      </c>
      <c r="I521" s="1" t="str">
        <f>TEXT(InputData[[#This Row],[DATE]],"MMM")</f>
        <v>Aug</v>
      </c>
      <c r="J521" s="1">
        <f>WEEKNUM(InputData[[#This Row],[DATE]])</f>
        <v>33</v>
      </c>
    </row>
    <row r="522" spans="1:10" x14ac:dyDescent="0.25">
      <c r="A522" s="3">
        <v>44418</v>
      </c>
      <c r="B522" s="6" t="s">
        <v>88</v>
      </c>
      <c r="C522" s="4" t="s">
        <v>44</v>
      </c>
      <c r="D522" s="5">
        <v>82.08</v>
      </c>
      <c r="E522" s="1">
        <v>10</v>
      </c>
      <c r="F522" s="1">
        <f>InputData[[#This Row],[UNIT PRICE ($)]]*InputData[[#This Row],[QUANTITY]]</f>
        <v>820.8</v>
      </c>
      <c r="G522" s="1" t="str">
        <f>VLOOKUP(InputData[[#This Row],[CUSTOMER NAME]],Country[#All],2,0)</f>
        <v>India</v>
      </c>
      <c r="H522" s="1" t="str">
        <f>VLOOKUP(InputData[[#This Row],[CUSTOMER NAME]],Country[#All],3,0)</f>
        <v>South</v>
      </c>
      <c r="I522" s="1" t="str">
        <f>TEXT(InputData[[#This Row],[DATE]],"MMM")</f>
        <v>Aug</v>
      </c>
      <c r="J522" s="1">
        <f>WEEKNUM(InputData[[#This Row],[DATE]])</f>
        <v>33</v>
      </c>
    </row>
    <row r="523" spans="1:10" x14ac:dyDescent="0.25">
      <c r="A523" s="3">
        <v>44418</v>
      </c>
      <c r="B523" s="6" t="s">
        <v>89</v>
      </c>
      <c r="C523" s="4" t="s">
        <v>6</v>
      </c>
      <c r="D523" s="5">
        <v>85.5</v>
      </c>
      <c r="E523" s="1">
        <v>6</v>
      </c>
      <c r="F523" s="1">
        <f>InputData[[#This Row],[UNIT PRICE ($)]]*InputData[[#This Row],[QUANTITY]]</f>
        <v>513</v>
      </c>
      <c r="G523" s="1" t="str">
        <f>VLOOKUP(InputData[[#This Row],[CUSTOMER NAME]],Country[#All],2,0)</f>
        <v>Mexico</v>
      </c>
      <c r="H523" s="1" t="str">
        <f>VLOOKUP(InputData[[#This Row],[CUSTOMER NAME]],Country[#All],3,0)</f>
        <v>Export</v>
      </c>
      <c r="I523" s="1" t="str">
        <f>TEXT(InputData[[#This Row],[DATE]],"MMM")</f>
        <v>Aug</v>
      </c>
      <c r="J523" s="1">
        <f>WEEKNUM(InputData[[#This Row],[DATE]])</f>
        <v>33</v>
      </c>
    </row>
    <row r="524" spans="1:10" x14ac:dyDescent="0.25">
      <c r="A524" s="3">
        <v>44419</v>
      </c>
      <c r="B524" s="6" t="s">
        <v>73</v>
      </c>
      <c r="C524" s="4" t="s">
        <v>23</v>
      </c>
      <c r="D524" s="5">
        <v>149.46</v>
      </c>
      <c r="E524" s="1">
        <v>4</v>
      </c>
      <c r="F524" s="1">
        <f>InputData[[#This Row],[UNIT PRICE ($)]]*InputData[[#This Row],[QUANTITY]]</f>
        <v>597.84</v>
      </c>
      <c r="G524" s="1" t="str">
        <f>VLOOKUP(InputData[[#This Row],[CUSTOMER NAME]],Country[#All],2,0)</f>
        <v>India</v>
      </c>
      <c r="H524" s="1" t="str">
        <f>VLOOKUP(InputData[[#This Row],[CUSTOMER NAME]],Country[#All],3,0)</f>
        <v>East</v>
      </c>
      <c r="I524" s="1" t="str">
        <f>TEXT(InputData[[#This Row],[DATE]],"MMM")</f>
        <v>Aug</v>
      </c>
      <c r="J524" s="1">
        <f>WEEKNUM(InputData[[#This Row],[DATE]])</f>
        <v>33</v>
      </c>
    </row>
    <row r="525" spans="1:10" x14ac:dyDescent="0.25">
      <c r="A525" s="3">
        <v>44419</v>
      </c>
      <c r="B525" s="6" t="s">
        <v>76</v>
      </c>
      <c r="C525" s="4" t="s">
        <v>30</v>
      </c>
      <c r="D525" s="5">
        <v>201.28</v>
      </c>
      <c r="E525" s="1">
        <v>20</v>
      </c>
      <c r="F525" s="1">
        <f>InputData[[#This Row],[UNIT PRICE ($)]]*InputData[[#This Row],[QUANTITY]]</f>
        <v>4025.6</v>
      </c>
      <c r="G525" s="1" t="str">
        <f>VLOOKUP(InputData[[#This Row],[CUSTOMER NAME]],Country[#All],2,0)</f>
        <v>Saudi Arabia</v>
      </c>
      <c r="H525" s="1" t="str">
        <f>VLOOKUP(InputData[[#This Row],[CUSTOMER NAME]],Country[#All],3,0)</f>
        <v>Export</v>
      </c>
      <c r="I525" s="1" t="str">
        <f>TEXT(InputData[[#This Row],[DATE]],"MMM")</f>
        <v>Aug</v>
      </c>
      <c r="J525" s="1">
        <f>WEEKNUM(InputData[[#This Row],[DATE]])</f>
        <v>33</v>
      </c>
    </row>
    <row r="526" spans="1:10" x14ac:dyDescent="0.25">
      <c r="A526" s="3">
        <v>44421</v>
      </c>
      <c r="B526" s="6" t="s">
        <v>73</v>
      </c>
      <c r="C526" s="4" t="s">
        <v>11</v>
      </c>
      <c r="D526" s="5">
        <v>48.4</v>
      </c>
      <c r="E526" s="1">
        <v>13</v>
      </c>
      <c r="F526" s="1">
        <f>InputData[[#This Row],[UNIT PRICE ($)]]*InputData[[#This Row],[QUANTITY]]</f>
        <v>629.19999999999993</v>
      </c>
      <c r="G526" s="1" t="str">
        <f>VLOOKUP(InputData[[#This Row],[CUSTOMER NAME]],Country[#All],2,0)</f>
        <v>India</v>
      </c>
      <c r="H526" s="1" t="str">
        <f>VLOOKUP(InputData[[#This Row],[CUSTOMER NAME]],Country[#All],3,0)</f>
        <v>East</v>
      </c>
      <c r="I526" s="1" t="str">
        <f>TEXT(InputData[[#This Row],[DATE]],"MMM")</f>
        <v>Aug</v>
      </c>
      <c r="J526" s="1">
        <f>WEEKNUM(InputData[[#This Row],[DATE]])</f>
        <v>33</v>
      </c>
    </row>
    <row r="527" spans="1:10" x14ac:dyDescent="0.25">
      <c r="A527" s="3">
        <v>44421</v>
      </c>
      <c r="B527" s="6" t="s">
        <v>85</v>
      </c>
      <c r="C527" s="4" t="s">
        <v>27</v>
      </c>
      <c r="D527" s="5">
        <v>57.120000000000005</v>
      </c>
      <c r="E527" s="1">
        <v>9</v>
      </c>
      <c r="F527" s="1">
        <f>InputData[[#This Row],[UNIT PRICE ($)]]*InputData[[#This Row],[QUANTITY]]</f>
        <v>514.08000000000004</v>
      </c>
      <c r="G527" s="1" t="str">
        <f>VLOOKUP(InputData[[#This Row],[CUSTOMER NAME]],Country[#All],2,0)</f>
        <v>India</v>
      </c>
      <c r="H527" s="1" t="str">
        <f>VLOOKUP(InputData[[#This Row],[CUSTOMER NAME]],Country[#All],3,0)</f>
        <v>Northeast</v>
      </c>
      <c r="I527" s="1" t="str">
        <f>TEXT(InputData[[#This Row],[DATE]],"MMM")</f>
        <v>Aug</v>
      </c>
      <c r="J527" s="1">
        <f>WEEKNUM(InputData[[#This Row],[DATE]])</f>
        <v>33</v>
      </c>
    </row>
    <row r="528" spans="1:10" x14ac:dyDescent="0.25">
      <c r="A528" s="3">
        <v>44422</v>
      </c>
      <c r="B528" s="6" t="s">
        <v>61</v>
      </c>
      <c r="C528" s="4" t="s">
        <v>30</v>
      </c>
      <c r="D528" s="5">
        <v>201.28</v>
      </c>
      <c r="E528" s="1">
        <v>14</v>
      </c>
      <c r="F528" s="1">
        <f>InputData[[#This Row],[UNIT PRICE ($)]]*InputData[[#This Row],[QUANTITY]]</f>
        <v>2817.92</v>
      </c>
      <c r="G528" s="1" t="str">
        <f>VLOOKUP(InputData[[#This Row],[CUSTOMER NAME]],Country[#All],2,0)</f>
        <v>Bangladesh</v>
      </c>
      <c r="H528" s="1" t="str">
        <f>VLOOKUP(InputData[[#This Row],[CUSTOMER NAME]],Country[#All],3,0)</f>
        <v>Export</v>
      </c>
      <c r="I528" s="1" t="str">
        <f>TEXT(InputData[[#This Row],[DATE]],"MMM")</f>
        <v>Aug</v>
      </c>
      <c r="J528" s="1">
        <f>WEEKNUM(InputData[[#This Row],[DATE]])</f>
        <v>33</v>
      </c>
    </row>
    <row r="529" spans="1:10" x14ac:dyDescent="0.25">
      <c r="A529" s="3">
        <v>44423</v>
      </c>
      <c r="B529" s="6" t="s">
        <v>73</v>
      </c>
      <c r="C529" s="4" t="s">
        <v>15</v>
      </c>
      <c r="D529" s="5">
        <v>15.719999999999999</v>
      </c>
      <c r="E529" s="1">
        <v>7</v>
      </c>
      <c r="F529" s="1">
        <f>InputData[[#This Row],[UNIT PRICE ($)]]*InputData[[#This Row],[QUANTITY]]</f>
        <v>110.03999999999999</v>
      </c>
      <c r="G529" s="1" t="str">
        <f>VLOOKUP(InputData[[#This Row],[CUSTOMER NAME]],Country[#All],2,0)</f>
        <v>India</v>
      </c>
      <c r="H529" s="1" t="str">
        <f>VLOOKUP(InputData[[#This Row],[CUSTOMER NAME]],Country[#All],3,0)</f>
        <v>East</v>
      </c>
      <c r="I529" s="1" t="str">
        <f>TEXT(InputData[[#This Row],[DATE]],"MMM")</f>
        <v>Aug</v>
      </c>
      <c r="J529" s="1">
        <f>WEEKNUM(InputData[[#This Row],[DATE]])</f>
        <v>34</v>
      </c>
    </row>
    <row r="530" spans="1:10" x14ac:dyDescent="0.25">
      <c r="A530" s="3">
        <v>44423</v>
      </c>
      <c r="B530" s="6" t="s">
        <v>114</v>
      </c>
      <c r="C530" s="4" t="s">
        <v>11</v>
      </c>
      <c r="D530" s="5">
        <v>48.4</v>
      </c>
      <c r="E530" s="1">
        <v>10</v>
      </c>
      <c r="F530" s="1">
        <f>InputData[[#This Row],[UNIT PRICE ($)]]*InputData[[#This Row],[QUANTITY]]</f>
        <v>484</v>
      </c>
      <c r="G530" s="1" t="str">
        <f>VLOOKUP(InputData[[#This Row],[CUSTOMER NAME]],Country[#All],2,0)</f>
        <v>United States of America</v>
      </c>
      <c r="H530" s="1" t="str">
        <f>VLOOKUP(InputData[[#This Row],[CUSTOMER NAME]],Country[#All],3,0)</f>
        <v>Export</v>
      </c>
      <c r="I530" s="1" t="str">
        <f>TEXT(InputData[[#This Row],[DATE]],"MMM")</f>
        <v>Aug</v>
      </c>
      <c r="J530" s="1">
        <f>WEEKNUM(InputData[[#This Row],[DATE]])</f>
        <v>34</v>
      </c>
    </row>
    <row r="531" spans="1:10" x14ac:dyDescent="0.25">
      <c r="A531" s="3">
        <v>44424</v>
      </c>
      <c r="B531" s="6" t="s">
        <v>68</v>
      </c>
      <c r="C531" s="4" t="s">
        <v>9</v>
      </c>
      <c r="D531" s="5">
        <v>7.8599999999999994</v>
      </c>
      <c r="E531" s="1">
        <v>31</v>
      </c>
      <c r="F531" s="1">
        <f>InputData[[#This Row],[UNIT PRICE ($)]]*InputData[[#This Row],[QUANTITY]]</f>
        <v>243.65999999999997</v>
      </c>
      <c r="G531" s="1" t="str">
        <f>VLOOKUP(InputData[[#This Row],[CUSTOMER NAME]],Country[#All],2,0)</f>
        <v>Russia</v>
      </c>
      <c r="H531" s="1" t="str">
        <f>VLOOKUP(InputData[[#This Row],[CUSTOMER NAME]],Country[#All],3,0)</f>
        <v>Export</v>
      </c>
      <c r="I531" s="1" t="str">
        <f>TEXT(InputData[[#This Row],[DATE]],"MMM")</f>
        <v>Aug</v>
      </c>
      <c r="J531" s="1">
        <f>WEEKNUM(InputData[[#This Row],[DATE]])</f>
        <v>34</v>
      </c>
    </row>
    <row r="532" spans="1:10" x14ac:dyDescent="0.25">
      <c r="A532" s="3">
        <v>44424</v>
      </c>
      <c r="B532" s="6" t="s">
        <v>79</v>
      </c>
      <c r="C532" s="4" t="s">
        <v>3</v>
      </c>
      <c r="D532" s="5">
        <v>80.94</v>
      </c>
      <c r="E532" s="1">
        <v>3</v>
      </c>
      <c r="F532" s="1">
        <f>InputData[[#This Row],[UNIT PRICE ($)]]*InputData[[#This Row],[QUANTITY]]</f>
        <v>242.82</v>
      </c>
      <c r="G532" s="1" t="str">
        <f>VLOOKUP(InputData[[#This Row],[CUSTOMER NAME]],Country[#All],2,0)</f>
        <v>United Kingdom</v>
      </c>
      <c r="H532" s="1" t="str">
        <f>VLOOKUP(InputData[[#This Row],[CUSTOMER NAME]],Country[#All],3,0)</f>
        <v>Export</v>
      </c>
      <c r="I532" s="1" t="str">
        <f>TEXT(InputData[[#This Row],[DATE]],"MMM")</f>
        <v>Aug</v>
      </c>
      <c r="J532" s="1">
        <f>WEEKNUM(InputData[[#This Row],[DATE]])</f>
        <v>34</v>
      </c>
    </row>
    <row r="533" spans="1:10" x14ac:dyDescent="0.25">
      <c r="A533" s="3">
        <v>44424</v>
      </c>
      <c r="B533" s="6" t="s">
        <v>85</v>
      </c>
      <c r="C533" s="4" t="s">
        <v>13</v>
      </c>
      <c r="D533" s="5">
        <v>122.08</v>
      </c>
      <c r="E533" s="1">
        <v>1</v>
      </c>
      <c r="F533" s="1">
        <f>InputData[[#This Row],[UNIT PRICE ($)]]*InputData[[#This Row],[QUANTITY]]</f>
        <v>122.08</v>
      </c>
      <c r="G533" s="1" t="str">
        <f>VLOOKUP(InputData[[#This Row],[CUSTOMER NAME]],Country[#All],2,0)</f>
        <v>India</v>
      </c>
      <c r="H533" s="1" t="str">
        <f>VLOOKUP(InputData[[#This Row],[CUSTOMER NAME]],Country[#All],3,0)</f>
        <v>Northeast</v>
      </c>
      <c r="I533" s="1" t="str">
        <f>TEXT(InputData[[#This Row],[DATE]],"MMM")</f>
        <v>Aug</v>
      </c>
      <c r="J533" s="1">
        <f>WEEKNUM(InputData[[#This Row],[DATE]])</f>
        <v>34</v>
      </c>
    </row>
    <row r="534" spans="1:10" x14ac:dyDescent="0.25">
      <c r="A534" s="3">
        <v>44426</v>
      </c>
      <c r="B534" s="6" t="s">
        <v>70</v>
      </c>
      <c r="C534" s="4" t="s">
        <v>25</v>
      </c>
      <c r="D534" s="5">
        <v>8.33</v>
      </c>
      <c r="E534" s="1">
        <v>6</v>
      </c>
      <c r="F534" s="1">
        <f>InputData[[#This Row],[UNIT PRICE ($)]]*InputData[[#This Row],[QUANTITY]]</f>
        <v>49.980000000000004</v>
      </c>
      <c r="G534" s="1" t="str">
        <f>VLOOKUP(InputData[[#This Row],[CUSTOMER NAME]],Country[#All],2,0)</f>
        <v>Mexico</v>
      </c>
      <c r="H534" s="1" t="str">
        <f>VLOOKUP(InputData[[#This Row],[CUSTOMER NAME]],Country[#All],3,0)</f>
        <v>Export</v>
      </c>
      <c r="I534" s="1" t="str">
        <f>TEXT(InputData[[#This Row],[DATE]],"MMM")</f>
        <v>Aug</v>
      </c>
      <c r="J534" s="1">
        <f>WEEKNUM(InputData[[#This Row],[DATE]])</f>
        <v>34</v>
      </c>
    </row>
    <row r="535" spans="1:10" x14ac:dyDescent="0.25">
      <c r="A535" s="3">
        <v>44426</v>
      </c>
      <c r="B535" s="6" t="s">
        <v>79</v>
      </c>
      <c r="C535" s="4" t="s">
        <v>29</v>
      </c>
      <c r="D535" s="5">
        <v>53.11</v>
      </c>
      <c r="E535" s="1">
        <v>8</v>
      </c>
      <c r="F535" s="1">
        <f>InputData[[#This Row],[UNIT PRICE ($)]]*InputData[[#This Row],[QUANTITY]]</f>
        <v>424.88</v>
      </c>
      <c r="G535" s="1" t="str">
        <f>VLOOKUP(InputData[[#This Row],[CUSTOMER NAME]],Country[#All],2,0)</f>
        <v>United Kingdom</v>
      </c>
      <c r="H535" s="1" t="str">
        <f>VLOOKUP(InputData[[#This Row],[CUSTOMER NAME]],Country[#All],3,0)</f>
        <v>Export</v>
      </c>
      <c r="I535" s="1" t="str">
        <f>TEXT(InputData[[#This Row],[DATE]],"MMM")</f>
        <v>Aug</v>
      </c>
      <c r="J535" s="1">
        <f>WEEKNUM(InputData[[#This Row],[DATE]])</f>
        <v>34</v>
      </c>
    </row>
    <row r="536" spans="1:10" x14ac:dyDescent="0.25">
      <c r="A536" s="3">
        <v>44426</v>
      </c>
      <c r="B536" s="6" t="s">
        <v>82</v>
      </c>
      <c r="C536" s="4" t="s">
        <v>29</v>
      </c>
      <c r="D536" s="5">
        <v>53.11</v>
      </c>
      <c r="E536" s="1">
        <v>19</v>
      </c>
      <c r="F536" s="1">
        <f>InputData[[#This Row],[UNIT PRICE ($)]]*InputData[[#This Row],[QUANTITY]]</f>
        <v>1009.09</v>
      </c>
      <c r="G536" s="1" t="str">
        <f>VLOOKUP(InputData[[#This Row],[CUSTOMER NAME]],Country[#All],2,0)</f>
        <v>India</v>
      </c>
      <c r="H536" s="1" t="str">
        <f>VLOOKUP(InputData[[#This Row],[CUSTOMER NAME]],Country[#All],3,0)</f>
        <v>Western</v>
      </c>
      <c r="I536" s="1" t="str">
        <f>TEXT(InputData[[#This Row],[DATE]],"MMM")</f>
        <v>Aug</v>
      </c>
      <c r="J536" s="1">
        <f>WEEKNUM(InputData[[#This Row],[DATE]])</f>
        <v>34</v>
      </c>
    </row>
    <row r="537" spans="1:10" x14ac:dyDescent="0.25">
      <c r="A537" s="3">
        <v>44426</v>
      </c>
      <c r="B537" s="6" t="s">
        <v>114</v>
      </c>
      <c r="C537" s="4" t="s">
        <v>10</v>
      </c>
      <c r="D537" s="5">
        <v>164.28</v>
      </c>
      <c r="E537" s="1">
        <v>2</v>
      </c>
      <c r="F537" s="1">
        <f>InputData[[#This Row],[UNIT PRICE ($)]]*InputData[[#This Row],[QUANTITY]]</f>
        <v>328.56</v>
      </c>
      <c r="G537" s="1" t="str">
        <f>VLOOKUP(InputData[[#This Row],[CUSTOMER NAME]],Country[#All],2,0)</f>
        <v>United States of America</v>
      </c>
      <c r="H537" s="1" t="str">
        <f>VLOOKUP(InputData[[#This Row],[CUSTOMER NAME]],Country[#All],3,0)</f>
        <v>Export</v>
      </c>
      <c r="I537" s="1" t="str">
        <f>TEXT(InputData[[#This Row],[DATE]],"MMM")</f>
        <v>Aug</v>
      </c>
      <c r="J537" s="1">
        <f>WEEKNUM(InputData[[#This Row],[DATE]])</f>
        <v>34</v>
      </c>
    </row>
    <row r="538" spans="1:10" x14ac:dyDescent="0.25">
      <c r="A538" s="3">
        <v>44427</v>
      </c>
      <c r="B538" s="6" t="s">
        <v>63</v>
      </c>
      <c r="C538" s="4" t="s">
        <v>7</v>
      </c>
      <c r="D538" s="5">
        <v>47.730000000000004</v>
      </c>
      <c r="E538" s="1">
        <v>3</v>
      </c>
      <c r="F538" s="1">
        <f>InputData[[#This Row],[UNIT PRICE ($)]]*InputData[[#This Row],[QUANTITY]]</f>
        <v>143.19</v>
      </c>
      <c r="G538" s="1" t="str">
        <f>VLOOKUP(InputData[[#This Row],[CUSTOMER NAME]],Country[#All],2,0)</f>
        <v>Saudi Arabia</v>
      </c>
      <c r="H538" s="1" t="str">
        <f>VLOOKUP(InputData[[#This Row],[CUSTOMER NAME]],Country[#All],3,0)</f>
        <v>Export</v>
      </c>
      <c r="I538" s="1" t="str">
        <f>TEXT(InputData[[#This Row],[DATE]],"MMM")</f>
        <v>Aug</v>
      </c>
      <c r="J538" s="1">
        <f>WEEKNUM(InputData[[#This Row],[DATE]])</f>
        <v>34</v>
      </c>
    </row>
    <row r="539" spans="1:10" x14ac:dyDescent="0.25">
      <c r="A539" s="3">
        <v>44428</v>
      </c>
      <c r="B539" s="6" t="s">
        <v>61</v>
      </c>
      <c r="C539" s="4" t="s">
        <v>33</v>
      </c>
      <c r="D539" s="5">
        <v>119.7</v>
      </c>
      <c r="E539" s="1">
        <v>14</v>
      </c>
      <c r="F539" s="1">
        <f>InputData[[#This Row],[UNIT PRICE ($)]]*InputData[[#This Row],[QUANTITY]]</f>
        <v>1675.8</v>
      </c>
      <c r="G539" s="1" t="str">
        <f>VLOOKUP(InputData[[#This Row],[CUSTOMER NAME]],Country[#All],2,0)</f>
        <v>Bangladesh</v>
      </c>
      <c r="H539" s="1" t="str">
        <f>VLOOKUP(InputData[[#This Row],[CUSTOMER NAME]],Country[#All],3,0)</f>
        <v>Export</v>
      </c>
      <c r="I539" s="1" t="str">
        <f>TEXT(InputData[[#This Row],[DATE]],"MMM")</f>
        <v>Aug</v>
      </c>
      <c r="J539" s="1">
        <f>WEEKNUM(InputData[[#This Row],[DATE]])</f>
        <v>34</v>
      </c>
    </row>
    <row r="540" spans="1:10" x14ac:dyDescent="0.25">
      <c r="A540" s="3">
        <v>44428</v>
      </c>
      <c r="B540" s="6" t="s">
        <v>63</v>
      </c>
      <c r="C540" s="4" t="s">
        <v>20</v>
      </c>
      <c r="D540" s="5">
        <v>76.25</v>
      </c>
      <c r="E540" s="1">
        <v>15</v>
      </c>
      <c r="F540" s="1">
        <f>InputData[[#This Row],[UNIT PRICE ($)]]*InputData[[#This Row],[QUANTITY]]</f>
        <v>1143.75</v>
      </c>
      <c r="G540" s="1" t="str">
        <f>VLOOKUP(InputData[[#This Row],[CUSTOMER NAME]],Country[#All],2,0)</f>
        <v>Saudi Arabia</v>
      </c>
      <c r="H540" s="1" t="str">
        <f>VLOOKUP(InputData[[#This Row],[CUSTOMER NAME]],Country[#All],3,0)</f>
        <v>Export</v>
      </c>
      <c r="I540" s="1" t="str">
        <f>TEXT(InputData[[#This Row],[DATE]],"MMM")</f>
        <v>Aug</v>
      </c>
      <c r="J540" s="1">
        <f>WEEKNUM(InputData[[#This Row],[DATE]])</f>
        <v>34</v>
      </c>
    </row>
    <row r="541" spans="1:10" x14ac:dyDescent="0.25">
      <c r="A541" s="3">
        <v>44428</v>
      </c>
      <c r="B541" s="6" t="s">
        <v>70</v>
      </c>
      <c r="C541" s="4" t="s">
        <v>23</v>
      </c>
      <c r="D541" s="5">
        <v>149.46</v>
      </c>
      <c r="E541" s="1">
        <v>13</v>
      </c>
      <c r="F541" s="1">
        <f>InputData[[#This Row],[UNIT PRICE ($)]]*InputData[[#This Row],[QUANTITY]]</f>
        <v>1942.98</v>
      </c>
      <c r="G541" s="1" t="str">
        <f>VLOOKUP(InputData[[#This Row],[CUSTOMER NAME]],Country[#All],2,0)</f>
        <v>Mexico</v>
      </c>
      <c r="H541" s="1" t="str">
        <f>VLOOKUP(InputData[[#This Row],[CUSTOMER NAME]],Country[#All],3,0)</f>
        <v>Export</v>
      </c>
      <c r="I541" s="1" t="str">
        <f>TEXT(InputData[[#This Row],[DATE]],"MMM")</f>
        <v>Aug</v>
      </c>
      <c r="J541" s="1">
        <f>WEEKNUM(InputData[[#This Row],[DATE]])</f>
        <v>34</v>
      </c>
    </row>
    <row r="542" spans="1:10" x14ac:dyDescent="0.25">
      <c r="A542" s="3">
        <v>44428</v>
      </c>
      <c r="B542" s="6" t="s">
        <v>74</v>
      </c>
      <c r="C542" s="4" t="s">
        <v>18</v>
      </c>
      <c r="D542" s="5">
        <v>49.21</v>
      </c>
      <c r="E542" s="1">
        <v>19</v>
      </c>
      <c r="F542" s="1">
        <f>InputData[[#This Row],[UNIT PRICE ($)]]*InputData[[#This Row],[QUANTITY]]</f>
        <v>934.99</v>
      </c>
      <c r="G542" s="1" t="str">
        <f>VLOOKUP(InputData[[#This Row],[CUSTOMER NAME]],Country[#All],2,0)</f>
        <v>Brazil</v>
      </c>
      <c r="H542" s="1" t="str">
        <f>VLOOKUP(InputData[[#This Row],[CUSTOMER NAME]],Country[#All],3,0)</f>
        <v>Export</v>
      </c>
      <c r="I542" s="1" t="str">
        <f>TEXT(InputData[[#This Row],[DATE]],"MMM")</f>
        <v>Aug</v>
      </c>
      <c r="J542" s="1">
        <f>WEEKNUM(InputData[[#This Row],[DATE]])</f>
        <v>34</v>
      </c>
    </row>
    <row r="543" spans="1:10" x14ac:dyDescent="0.25">
      <c r="A543" s="3">
        <v>44428</v>
      </c>
      <c r="B543" s="6" t="s">
        <v>81</v>
      </c>
      <c r="C543" s="4" t="s">
        <v>31</v>
      </c>
      <c r="D543" s="5">
        <v>104.16</v>
      </c>
      <c r="E543" s="1">
        <v>9</v>
      </c>
      <c r="F543" s="1">
        <f>InputData[[#This Row],[UNIT PRICE ($)]]*InputData[[#This Row],[QUANTITY]]</f>
        <v>937.43999999999994</v>
      </c>
      <c r="G543" s="1" t="str">
        <f>VLOOKUP(InputData[[#This Row],[CUSTOMER NAME]],Country[#All],2,0)</f>
        <v>India</v>
      </c>
      <c r="H543" s="1" t="str">
        <f>VLOOKUP(InputData[[#This Row],[CUSTOMER NAME]],Country[#All],3,0)</f>
        <v>East</v>
      </c>
      <c r="I543" s="1" t="str">
        <f>TEXT(InputData[[#This Row],[DATE]],"MMM")</f>
        <v>Aug</v>
      </c>
      <c r="J543" s="1">
        <f>WEEKNUM(InputData[[#This Row],[DATE]])</f>
        <v>34</v>
      </c>
    </row>
    <row r="544" spans="1:10" x14ac:dyDescent="0.25">
      <c r="A544" s="3">
        <v>44428</v>
      </c>
      <c r="B544" s="6" t="s">
        <v>82</v>
      </c>
      <c r="C544" s="4" t="s">
        <v>28</v>
      </c>
      <c r="D544" s="5">
        <v>41.81</v>
      </c>
      <c r="E544" s="1">
        <v>13</v>
      </c>
      <c r="F544" s="1">
        <f>InputData[[#This Row],[UNIT PRICE ($)]]*InputData[[#This Row],[QUANTITY]]</f>
        <v>543.53</v>
      </c>
      <c r="G544" s="1" t="str">
        <f>VLOOKUP(InputData[[#This Row],[CUSTOMER NAME]],Country[#All],2,0)</f>
        <v>India</v>
      </c>
      <c r="H544" s="1" t="str">
        <f>VLOOKUP(InputData[[#This Row],[CUSTOMER NAME]],Country[#All],3,0)</f>
        <v>Western</v>
      </c>
      <c r="I544" s="1" t="str">
        <f>TEXT(InputData[[#This Row],[DATE]],"MMM")</f>
        <v>Aug</v>
      </c>
      <c r="J544" s="1">
        <f>WEEKNUM(InputData[[#This Row],[DATE]])</f>
        <v>34</v>
      </c>
    </row>
    <row r="545" spans="1:10" x14ac:dyDescent="0.25">
      <c r="A545" s="3">
        <v>44429</v>
      </c>
      <c r="B545" s="6" t="s">
        <v>82</v>
      </c>
      <c r="C545" s="4" t="s">
        <v>16</v>
      </c>
      <c r="D545" s="5">
        <v>16.64</v>
      </c>
      <c r="E545" s="1">
        <v>4</v>
      </c>
      <c r="F545" s="1">
        <f>InputData[[#This Row],[UNIT PRICE ($)]]*InputData[[#This Row],[QUANTITY]]</f>
        <v>66.56</v>
      </c>
      <c r="G545" s="1" t="str">
        <f>VLOOKUP(InputData[[#This Row],[CUSTOMER NAME]],Country[#All],2,0)</f>
        <v>India</v>
      </c>
      <c r="H545" s="1" t="str">
        <f>VLOOKUP(InputData[[#This Row],[CUSTOMER NAME]],Country[#All],3,0)</f>
        <v>Western</v>
      </c>
      <c r="I545" s="1" t="str">
        <f>TEXT(InputData[[#This Row],[DATE]],"MMM")</f>
        <v>Aug</v>
      </c>
      <c r="J545" s="1">
        <f>WEEKNUM(InputData[[#This Row],[DATE]])</f>
        <v>34</v>
      </c>
    </row>
    <row r="546" spans="1:10" x14ac:dyDescent="0.25">
      <c r="A546" s="3">
        <v>44430</v>
      </c>
      <c r="B546" s="6" t="s">
        <v>81</v>
      </c>
      <c r="C546" s="4" t="s">
        <v>5</v>
      </c>
      <c r="D546" s="5">
        <v>155.61000000000001</v>
      </c>
      <c r="E546" s="1">
        <v>19</v>
      </c>
      <c r="F546" s="1">
        <f>InputData[[#This Row],[UNIT PRICE ($)]]*InputData[[#This Row],[QUANTITY]]</f>
        <v>2956.59</v>
      </c>
      <c r="G546" s="1" t="str">
        <f>VLOOKUP(InputData[[#This Row],[CUSTOMER NAME]],Country[#All],2,0)</f>
        <v>India</v>
      </c>
      <c r="H546" s="1" t="str">
        <f>VLOOKUP(InputData[[#This Row],[CUSTOMER NAME]],Country[#All],3,0)</f>
        <v>East</v>
      </c>
      <c r="I546" s="1" t="str">
        <f>TEXT(InputData[[#This Row],[DATE]],"MMM")</f>
        <v>Aug</v>
      </c>
      <c r="J546" s="1">
        <f>WEEKNUM(InputData[[#This Row],[DATE]])</f>
        <v>35</v>
      </c>
    </row>
    <row r="547" spans="1:10" x14ac:dyDescent="0.25">
      <c r="A547" s="3">
        <v>44431</v>
      </c>
      <c r="B547" s="6" t="s">
        <v>65</v>
      </c>
      <c r="C547" s="4" t="s">
        <v>44</v>
      </c>
      <c r="D547" s="5">
        <v>82.08</v>
      </c>
      <c r="E547" s="1">
        <v>11</v>
      </c>
      <c r="F547" s="1">
        <f>InputData[[#This Row],[UNIT PRICE ($)]]*InputData[[#This Row],[QUANTITY]]</f>
        <v>902.88</v>
      </c>
      <c r="G547" s="1" t="str">
        <f>VLOOKUP(InputData[[#This Row],[CUSTOMER NAME]],Country[#All],2,0)</f>
        <v>Pakistan</v>
      </c>
      <c r="H547" s="1" t="str">
        <f>VLOOKUP(InputData[[#This Row],[CUSTOMER NAME]],Country[#All],3,0)</f>
        <v>Export</v>
      </c>
      <c r="I547" s="1" t="str">
        <f>TEXT(InputData[[#This Row],[DATE]],"MMM")</f>
        <v>Aug</v>
      </c>
      <c r="J547" s="1">
        <f>WEEKNUM(InputData[[#This Row],[DATE]])</f>
        <v>35</v>
      </c>
    </row>
    <row r="548" spans="1:10" x14ac:dyDescent="0.25">
      <c r="A548" s="3">
        <v>44431</v>
      </c>
      <c r="B548" s="6" t="s">
        <v>78</v>
      </c>
      <c r="C548" s="4" t="s">
        <v>29</v>
      </c>
      <c r="D548" s="5">
        <v>53.11</v>
      </c>
      <c r="E548" s="1">
        <v>14</v>
      </c>
      <c r="F548" s="1">
        <f>InputData[[#This Row],[UNIT PRICE ($)]]*InputData[[#This Row],[QUANTITY]]</f>
        <v>743.54</v>
      </c>
      <c r="G548" s="1" t="str">
        <f>VLOOKUP(InputData[[#This Row],[CUSTOMER NAME]],Country[#All],2,0)</f>
        <v>India</v>
      </c>
      <c r="H548" s="1" t="str">
        <f>VLOOKUP(InputData[[#This Row],[CUSTOMER NAME]],Country[#All],3,0)</f>
        <v>Central</v>
      </c>
      <c r="I548" s="1" t="str">
        <f>TEXT(InputData[[#This Row],[DATE]],"MMM")</f>
        <v>Aug</v>
      </c>
      <c r="J548" s="1">
        <f>WEEKNUM(InputData[[#This Row],[DATE]])</f>
        <v>35</v>
      </c>
    </row>
    <row r="549" spans="1:10" x14ac:dyDescent="0.25">
      <c r="A549" s="3">
        <v>44432</v>
      </c>
      <c r="B549" s="6" t="s">
        <v>78</v>
      </c>
      <c r="C549" s="4" t="s">
        <v>5</v>
      </c>
      <c r="D549" s="5">
        <v>155.61000000000001</v>
      </c>
      <c r="E549" s="1">
        <v>5</v>
      </c>
      <c r="F549" s="1">
        <f>InputData[[#This Row],[UNIT PRICE ($)]]*InputData[[#This Row],[QUANTITY]]</f>
        <v>778.05000000000007</v>
      </c>
      <c r="G549" s="1" t="str">
        <f>VLOOKUP(InputData[[#This Row],[CUSTOMER NAME]],Country[#All],2,0)</f>
        <v>India</v>
      </c>
      <c r="H549" s="1" t="str">
        <f>VLOOKUP(InputData[[#This Row],[CUSTOMER NAME]],Country[#All],3,0)</f>
        <v>Central</v>
      </c>
      <c r="I549" s="1" t="str">
        <f>TEXT(InputData[[#This Row],[DATE]],"MMM")</f>
        <v>Aug</v>
      </c>
      <c r="J549" s="1">
        <f>WEEKNUM(InputData[[#This Row],[DATE]])</f>
        <v>35</v>
      </c>
    </row>
    <row r="550" spans="1:10" x14ac:dyDescent="0.25">
      <c r="A550" s="3">
        <v>44433</v>
      </c>
      <c r="B550" s="6" t="s">
        <v>85</v>
      </c>
      <c r="C550" s="4" t="s">
        <v>41</v>
      </c>
      <c r="D550" s="5">
        <v>173.88</v>
      </c>
      <c r="E550" s="1">
        <v>38</v>
      </c>
      <c r="F550" s="1">
        <f>InputData[[#This Row],[UNIT PRICE ($)]]*InputData[[#This Row],[QUANTITY]]</f>
        <v>6607.44</v>
      </c>
      <c r="G550" s="1" t="str">
        <f>VLOOKUP(InputData[[#This Row],[CUSTOMER NAME]],Country[#All],2,0)</f>
        <v>India</v>
      </c>
      <c r="H550" s="1" t="str">
        <f>VLOOKUP(InputData[[#This Row],[CUSTOMER NAME]],Country[#All],3,0)</f>
        <v>Northeast</v>
      </c>
      <c r="I550" s="1" t="str">
        <f>TEXT(InputData[[#This Row],[DATE]],"MMM")</f>
        <v>Aug</v>
      </c>
      <c r="J550" s="1">
        <f>WEEKNUM(InputData[[#This Row],[DATE]])</f>
        <v>35</v>
      </c>
    </row>
    <row r="551" spans="1:10" x14ac:dyDescent="0.25">
      <c r="A551" s="3">
        <v>44434</v>
      </c>
      <c r="B551" s="6" t="s">
        <v>109</v>
      </c>
      <c r="C551" s="4" t="s">
        <v>34</v>
      </c>
      <c r="D551" s="5">
        <v>58.3</v>
      </c>
      <c r="E551" s="1">
        <v>21</v>
      </c>
      <c r="F551" s="1">
        <f>InputData[[#This Row],[UNIT PRICE ($)]]*InputData[[#This Row],[QUANTITY]]</f>
        <v>1224.3</v>
      </c>
      <c r="G551" s="1" t="str">
        <f>VLOOKUP(InputData[[#This Row],[CUSTOMER NAME]],Country[#All],2,0)</f>
        <v>Pakistan</v>
      </c>
      <c r="H551" s="1" t="str">
        <f>VLOOKUP(InputData[[#This Row],[CUSTOMER NAME]],Country[#All],3,0)</f>
        <v>Export</v>
      </c>
      <c r="I551" s="1" t="str">
        <f>TEXT(InputData[[#This Row],[DATE]],"MMM")</f>
        <v>Aug</v>
      </c>
      <c r="J551" s="1">
        <f>WEEKNUM(InputData[[#This Row],[DATE]])</f>
        <v>35</v>
      </c>
    </row>
    <row r="552" spans="1:10" x14ac:dyDescent="0.25">
      <c r="A552" s="3">
        <v>44434</v>
      </c>
      <c r="B552" s="6" t="s">
        <v>68</v>
      </c>
      <c r="C552" s="4" t="s">
        <v>39</v>
      </c>
      <c r="D552" s="5">
        <v>42.55</v>
      </c>
      <c r="E552" s="1">
        <v>4</v>
      </c>
      <c r="F552" s="1">
        <f>InputData[[#This Row],[UNIT PRICE ($)]]*InputData[[#This Row],[QUANTITY]]</f>
        <v>170.2</v>
      </c>
      <c r="G552" s="1" t="str">
        <f>VLOOKUP(InputData[[#This Row],[CUSTOMER NAME]],Country[#All],2,0)</f>
        <v>Russia</v>
      </c>
      <c r="H552" s="1" t="str">
        <f>VLOOKUP(InputData[[#This Row],[CUSTOMER NAME]],Country[#All],3,0)</f>
        <v>Export</v>
      </c>
      <c r="I552" s="1" t="str">
        <f>TEXT(InputData[[#This Row],[DATE]],"MMM")</f>
        <v>Aug</v>
      </c>
      <c r="J552" s="1">
        <f>WEEKNUM(InputData[[#This Row],[DATE]])</f>
        <v>35</v>
      </c>
    </row>
    <row r="553" spans="1:10" x14ac:dyDescent="0.25">
      <c r="A553" s="3">
        <v>44434</v>
      </c>
      <c r="B553" s="6" t="s">
        <v>71</v>
      </c>
      <c r="C553" s="4" t="s">
        <v>21</v>
      </c>
      <c r="D553" s="5">
        <v>162.54</v>
      </c>
      <c r="E553" s="1">
        <v>18</v>
      </c>
      <c r="F553" s="1">
        <f>InputData[[#This Row],[UNIT PRICE ($)]]*InputData[[#This Row],[QUANTITY]]</f>
        <v>2925.72</v>
      </c>
      <c r="G553" s="1" t="str">
        <f>VLOOKUP(InputData[[#This Row],[CUSTOMER NAME]],Country[#All],2,0)</f>
        <v>India</v>
      </c>
      <c r="H553" s="1" t="str">
        <f>VLOOKUP(InputData[[#This Row],[CUSTOMER NAME]],Country[#All],3,0)</f>
        <v>Central</v>
      </c>
      <c r="I553" s="1" t="str">
        <f>TEXT(InputData[[#This Row],[DATE]],"MMM")</f>
        <v>Aug</v>
      </c>
      <c r="J553" s="1">
        <f>WEEKNUM(InputData[[#This Row],[DATE]])</f>
        <v>35</v>
      </c>
    </row>
    <row r="554" spans="1:10" x14ac:dyDescent="0.25">
      <c r="A554" s="3">
        <v>44434</v>
      </c>
      <c r="B554" s="6" t="s">
        <v>78</v>
      </c>
      <c r="C554" s="4" t="s">
        <v>37</v>
      </c>
      <c r="D554" s="5">
        <v>85.76</v>
      </c>
      <c r="E554" s="1">
        <v>8</v>
      </c>
      <c r="F554" s="1">
        <f>InputData[[#This Row],[UNIT PRICE ($)]]*InputData[[#This Row],[QUANTITY]]</f>
        <v>686.08</v>
      </c>
      <c r="G554" s="1" t="str">
        <f>VLOOKUP(InputData[[#This Row],[CUSTOMER NAME]],Country[#All],2,0)</f>
        <v>India</v>
      </c>
      <c r="H554" s="1" t="str">
        <f>VLOOKUP(InputData[[#This Row],[CUSTOMER NAME]],Country[#All],3,0)</f>
        <v>Central</v>
      </c>
      <c r="I554" s="1" t="str">
        <f>TEXT(InputData[[#This Row],[DATE]],"MMM")</f>
        <v>Aug</v>
      </c>
      <c r="J554" s="1">
        <f>WEEKNUM(InputData[[#This Row],[DATE]])</f>
        <v>35</v>
      </c>
    </row>
    <row r="555" spans="1:10" x14ac:dyDescent="0.25">
      <c r="A555" s="3">
        <v>44434</v>
      </c>
      <c r="B555" s="6" t="s">
        <v>114</v>
      </c>
      <c r="C555" s="4" t="s">
        <v>19</v>
      </c>
      <c r="D555" s="5">
        <v>210</v>
      </c>
      <c r="E555" s="1">
        <v>13</v>
      </c>
      <c r="F555" s="1">
        <f>InputData[[#This Row],[UNIT PRICE ($)]]*InputData[[#This Row],[QUANTITY]]</f>
        <v>2730</v>
      </c>
      <c r="G555" s="1" t="str">
        <f>VLOOKUP(InputData[[#This Row],[CUSTOMER NAME]],Country[#All],2,0)</f>
        <v>United States of America</v>
      </c>
      <c r="H555" s="1" t="str">
        <f>VLOOKUP(InputData[[#This Row],[CUSTOMER NAME]],Country[#All],3,0)</f>
        <v>Export</v>
      </c>
      <c r="I555" s="1" t="str">
        <f>TEXT(InputData[[#This Row],[DATE]],"MMM")</f>
        <v>Aug</v>
      </c>
      <c r="J555" s="1">
        <f>WEEKNUM(InputData[[#This Row],[DATE]])</f>
        <v>35</v>
      </c>
    </row>
    <row r="556" spans="1:10" x14ac:dyDescent="0.25">
      <c r="A556" s="3">
        <v>44434</v>
      </c>
      <c r="B556" s="6" t="s">
        <v>89</v>
      </c>
      <c r="C556" s="4" t="s">
        <v>9</v>
      </c>
      <c r="D556" s="5">
        <v>7.8599999999999994</v>
      </c>
      <c r="E556" s="1">
        <v>38</v>
      </c>
      <c r="F556" s="1">
        <f>InputData[[#This Row],[UNIT PRICE ($)]]*InputData[[#This Row],[QUANTITY]]</f>
        <v>298.67999999999995</v>
      </c>
      <c r="G556" s="1" t="str">
        <f>VLOOKUP(InputData[[#This Row],[CUSTOMER NAME]],Country[#All],2,0)</f>
        <v>Mexico</v>
      </c>
      <c r="H556" s="1" t="str">
        <f>VLOOKUP(InputData[[#This Row],[CUSTOMER NAME]],Country[#All],3,0)</f>
        <v>Export</v>
      </c>
      <c r="I556" s="1" t="str">
        <f>TEXT(InputData[[#This Row],[DATE]],"MMM")</f>
        <v>Aug</v>
      </c>
      <c r="J556" s="1">
        <f>WEEKNUM(InputData[[#This Row],[DATE]])</f>
        <v>35</v>
      </c>
    </row>
    <row r="557" spans="1:10" x14ac:dyDescent="0.25">
      <c r="A557" s="3">
        <v>44435</v>
      </c>
      <c r="B557" s="6" t="s">
        <v>77</v>
      </c>
      <c r="C557" s="4" t="s">
        <v>39</v>
      </c>
      <c r="D557" s="5">
        <v>42.55</v>
      </c>
      <c r="E557" s="1">
        <v>15</v>
      </c>
      <c r="F557" s="1">
        <f>InputData[[#This Row],[UNIT PRICE ($)]]*InputData[[#This Row],[QUANTITY]]</f>
        <v>638.25</v>
      </c>
      <c r="G557" s="1" t="str">
        <f>VLOOKUP(InputData[[#This Row],[CUSTOMER NAME]],Country[#All],2,0)</f>
        <v>India</v>
      </c>
      <c r="H557" s="1" t="str">
        <f>VLOOKUP(InputData[[#This Row],[CUSTOMER NAME]],Country[#All],3,0)</f>
        <v>Western</v>
      </c>
      <c r="I557" s="1" t="str">
        <f>TEXT(InputData[[#This Row],[DATE]],"MMM")</f>
        <v>Aug</v>
      </c>
      <c r="J557" s="1">
        <f>WEEKNUM(InputData[[#This Row],[DATE]])</f>
        <v>35</v>
      </c>
    </row>
    <row r="558" spans="1:10" x14ac:dyDescent="0.25">
      <c r="A558" s="3">
        <v>44436</v>
      </c>
      <c r="B558" s="6" t="s">
        <v>61</v>
      </c>
      <c r="C558" s="4" t="s">
        <v>10</v>
      </c>
      <c r="D558" s="5">
        <v>164.28</v>
      </c>
      <c r="E558" s="1">
        <v>20</v>
      </c>
      <c r="F558" s="1">
        <f>InputData[[#This Row],[UNIT PRICE ($)]]*InputData[[#This Row],[QUANTITY]]</f>
        <v>3285.6</v>
      </c>
      <c r="G558" s="1" t="str">
        <f>VLOOKUP(InputData[[#This Row],[CUSTOMER NAME]],Country[#All],2,0)</f>
        <v>Bangladesh</v>
      </c>
      <c r="H558" s="1" t="str">
        <f>VLOOKUP(InputData[[#This Row],[CUSTOMER NAME]],Country[#All],3,0)</f>
        <v>Export</v>
      </c>
      <c r="I558" s="1" t="str">
        <f>TEXT(InputData[[#This Row],[DATE]],"MMM")</f>
        <v>Aug</v>
      </c>
      <c r="J558" s="1">
        <f>WEEKNUM(InputData[[#This Row],[DATE]])</f>
        <v>35</v>
      </c>
    </row>
    <row r="559" spans="1:10" x14ac:dyDescent="0.25">
      <c r="A559" s="3">
        <v>44436</v>
      </c>
      <c r="B559" s="6" t="s">
        <v>109</v>
      </c>
      <c r="C559" s="4" t="s">
        <v>5</v>
      </c>
      <c r="D559" s="5">
        <v>155.61000000000001</v>
      </c>
      <c r="E559" s="1">
        <v>9</v>
      </c>
      <c r="F559" s="1">
        <f>InputData[[#This Row],[UNIT PRICE ($)]]*InputData[[#This Row],[QUANTITY]]</f>
        <v>1400.4900000000002</v>
      </c>
      <c r="G559" s="1" t="str">
        <f>VLOOKUP(InputData[[#This Row],[CUSTOMER NAME]],Country[#All],2,0)</f>
        <v>Pakistan</v>
      </c>
      <c r="H559" s="1" t="str">
        <f>VLOOKUP(InputData[[#This Row],[CUSTOMER NAME]],Country[#All],3,0)</f>
        <v>Export</v>
      </c>
      <c r="I559" s="1" t="str">
        <f>TEXT(InputData[[#This Row],[DATE]],"MMM")</f>
        <v>Aug</v>
      </c>
      <c r="J559" s="1">
        <f>WEEKNUM(InputData[[#This Row],[DATE]])</f>
        <v>35</v>
      </c>
    </row>
    <row r="560" spans="1:10" x14ac:dyDescent="0.25">
      <c r="A560" s="3">
        <v>44436</v>
      </c>
      <c r="B560" s="6" t="s">
        <v>68</v>
      </c>
      <c r="C560" s="4" t="s">
        <v>39</v>
      </c>
      <c r="D560" s="5">
        <v>42.55</v>
      </c>
      <c r="E560" s="1">
        <v>5</v>
      </c>
      <c r="F560" s="1">
        <f>InputData[[#This Row],[UNIT PRICE ($)]]*InputData[[#This Row],[QUANTITY]]</f>
        <v>212.75</v>
      </c>
      <c r="G560" s="1" t="str">
        <f>VLOOKUP(InputData[[#This Row],[CUSTOMER NAME]],Country[#All],2,0)</f>
        <v>Russia</v>
      </c>
      <c r="H560" s="1" t="str">
        <f>VLOOKUP(InputData[[#This Row],[CUSTOMER NAME]],Country[#All],3,0)</f>
        <v>Export</v>
      </c>
      <c r="I560" s="1" t="str">
        <f>TEXT(InputData[[#This Row],[DATE]],"MMM")</f>
        <v>Aug</v>
      </c>
      <c r="J560" s="1">
        <f>WEEKNUM(InputData[[#This Row],[DATE]])</f>
        <v>35</v>
      </c>
    </row>
    <row r="561" spans="1:10" x14ac:dyDescent="0.25">
      <c r="A561" s="3">
        <v>44436</v>
      </c>
      <c r="B561" s="6" t="s">
        <v>70</v>
      </c>
      <c r="C561" s="4" t="s">
        <v>43</v>
      </c>
      <c r="D561" s="5">
        <v>83.08</v>
      </c>
      <c r="E561" s="1">
        <v>25</v>
      </c>
      <c r="F561" s="1">
        <f>InputData[[#This Row],[UNIT PRICE ($)]]*InputData[[#This Row],[QUANTITY]]</f>
        <v>2077</v>
      </c>
      <c r="G561" s="1" t="str">
        <f>VLOOKUP(InputData[[#This Row],[CUSTOMER NAME]],Country[#All],2,0)</f>
        <v>Mexico</v>
      </c>
      <c r="H561" s="1" t="str">
        <f>VLOOKUP(InputData[[#This Row],[CUSTOMER NAME]],Country[#All],3,0)</f>
        <v>Export</v>
      </c>
      <c r="I561" s="1" t="str">
        <f>TEXT(InputData[[#This Row],[DATE]],"MMM")</f>
        <v>Aug</v>
      </c>
      <c r="J561" s="1">
        <f>WEEKNUM(InputData[[#This Row],[DATE]])</f>
        <v>35</v>
      </c>
    </row>
    <row r="562" spans="1:10" x14ac:dyDescent="0.25">
      <c r="A562" s="3">
        <v>44436</v>
      </c>
      <c r="B562" s="6" t="s">
        <v>80</v>
      </c>
      <c r="C562" s="4" t="s">
        <v>37</v>
      </c>
      <c r="D562" s="5">
        <v>85.76</v>
      </c>
      <c r="E562" s="1">
        <v>22</v>
      </c>
      <c r="F562" s="1">
        <f>InputData[[#This Row],[UNIT PRICE ($)]]*InputData[[#This Row],[QUANTITY]]</f>
        <v>1886.72</v>
      </c>
      <c r="G562" s="1" t="str">
        <f>VLOOKUP(InputData[[#This Row],[CUSTOMER NAME]],Country[#All],2,0)</f>
        <v>South Africa</v>
      </c>
      <c r="H562" s="1" t="str">
        <f>VLOOKUP(InputData[[#This Row],[CUSTOMER NAME]],Country[#All],3,0)</f>
        <v>Export</v>
      </c>
      <c r="I562" s="1" t="str">
        <f>TEXT(InputData[[#This Row],[DATE]],"MMM")</f>
        <v>Aug</v>
      </c>
      <c r="J562" s="1">
        <f>WEEKNUM(InputData[[#This Row],[DATE]])</f>
        <v>35</v>
      </c>
    </row>
    <row r="563" spans="1:10" x14ac:dyDescent="0.25">
      <c r="A563" s="3">
        <v>44437</v>
      </c>
      <c r="B563" s="6" t="s">
        <v>66</v>
      </c>
      <c r="C563" s="4" t="s">
        <v>34</v>
      </c>
      <c r="D563" s="5">
        <v>58.3</v>
      </c>
      <c r="E563" s="1">
        <v>12</v>
      </c>
      <c r="F563" s="1">
        <f>InputData[[#This Row],[UNIT PRICE ($)]]*InputData[[#This Row],[QUANTITY]]</f>
        <v>699.59999999999991</v>
      </c>
      <c r="G563" s="1" t="str">
        <f>VLOOKUP(InputData[[#This Row],[CUSTOMER NAME]],Country[#All],2,0)</f>
        <v>Indonesia</v>
      </c>
      <c r="H563" s="1" t="str">
        <f>VLOOKUP(InputData[[#This Row],[CUSTOMER NAME]],Country[#All],3,0)</f>
        <v>Export</v>
      </c>
      <c r="I563" s="1" t="str">
        <f>TEXT(InputData[[#This Row],[DATE]],"MMM")</f>
        <v>Aug</v>
      </c>
      <c r="J563" s="1">
        <f>WEEKNUM(InputData[[#This Row],[DATE]])</f>
        <v>36</v>
      </c>
    </row>
    <row r="564" spans="1:10" x14ac:dyDescent="0.25">
      <c r="A564" s="3">
        <v>44438</v>
      </c>
      <c r="B564" s="6" t="s">
        <v>63</v>
      </c>
      <c r="C564" s="4" t="s">
        <v>6</v>
      </c>
      <c r="D564" s="5">
        <v>85.5</v>
      </c>
      <c r="E564" s="1">
        <v>6</v>
      </c>
      <c r="F564" s="1">
        <f>InputData[[#This Row],[UNIT PRICE ($)]]*InputData[[#This Row],[QUANTITY]]</f>
        <v>513</v>
      </c>
      <c r="G564" s="1" t="str">
        <f>VLOOKUP(InputData[[#This Row],[CUSTOMER NAME]],Country[#All],2,0)</f>
        <v>Saudi Arabia</v>
      </c>
      <c r="H564" s="1" t="str">
        <f>VLOOKUP(InputData[[#This Row],[CUSTOMER NAME]],Country[#All],3,0)</f>
        <v>Export</v>
      </c>
      <c r="I564" s="1" t="str">
        <f>TEXT(InputData[[#This Row],[DATE]],"MMM")</f>
        <v>Aug</v>
      </c>
      <c r="J564" s="1">
        <f>WEEKNUM(InputData[[#This Row],[DATE]])</f>
        <v>36</v>
      </c>
    </row>
    <row r="565" spans="1:10" x14ac:dyDescent="0.25">
      <c r="A565" s="3">
        <v>44438</v>
      </c>
      <c r="B565" s="6" t="s">
        <v>76</v>
      </c>
      <c r="C565" s="4" t="s">
        <v>13</v>
      </c>
      <c r="D565" s="5">
        <v>122.08</v>
      </c>
      <c r="E565" s="1">
        <v>13</v>
      </c>
      <c r="F565" s="1">
        <f>InputData[[#This Row],[UNIT PRICE ($)]]*InputData[[#This Row],[QUANTITY]]</f>
        <v>1587.04</v>
      </c>
      <c r="G565" s="1" t="str">
        <f>VLOOKUP(InputData[[#This Row],[CUSTOMER NAME]],Country[#All],2,0)</f>
        <v>Saudi Arabia</v>
      </c>
      <c r="H565" s="1" t="str">
        <f>VLOOKUP(InputData[[#This Row],[CUSTOMER NAME]],Country[#All],3,0)</f>
        <v>Export</v>
      </c>
      <c r="I565" s="1" t="str">
        <f>TEXT(InputData[[#This Row],[DATE]],"MMM")</f>
        <v>Aug</v>
      </c>
      <c r="J565" s="1">
        <f>WEEKNUM(InputData[[#This Row],[DATE]])</f>
        <v>36</v>
      </c>
    </row>
    <row r="566" spans="1:10" x14ac:dyDescent="0.25">
      <c r="A566" s="3">
        <v>44438</v>
      </c>
      <c r="B566" s="6" t="s">
        <v>116</v>
      </c>
      <c r="C566" s="4" t="s">
        <v>25</v>
      </c>
      <c r="D566" s="5">
        <v>8.33</v>
      </c>
      <c r="E566" s="1">
        <v>5</v>
      </c>
      <c r="F566" s="1">
        <f>InputData[[#This Row],[UNIT PRICE ($)]]*InputData[[#This Row],[QUANTITY]]</f>
        <v>41.65</v>
      </c>
      <c r="G566" s="1" t="str">
        <f>VLOOKUP(InputData[[#This Row],[CUSTOMER NAME]],Country[#All],2,0)</f>
        <v>Germany</v>
      </c>
      <c r="H566" s="1" t="str">
        <f>VLOOKUP(InputData[[#This Row],[CUSTOMER NAME]],Country[#All],3,0)</f>
        <v>Export</v>
      </c>
      <c r="I566" s="1" t="str">
        <f>TEXT(InputData[[#This Row],[DATE]],"MMM")</f>
        <v>Aug</v>
      </c>
      <c r="J566" s="1">
        <f>WEEKNUM(InputData[[#This Row],[DATE]])</f>
        <v>36</v>
      </c>
    </row>
    <row r="567" spans="1:10" x14ac:dyDescent="0.25">
      <c r="A567" s="3">
        <v>44438</v>
      </c>
      <c r="B567" s="6" t="s">
        <v>89</v>
      </c>
      <c r="C567" s="4" t="s">
        <v>43</v>
      </c>
      <c r="D567" s="5">
        <v>83.08</v>
      </c>
      <c r="E567" s="1">
        <v>6</v>
      </c>
      <c r="F567" s="1">
        <f>InputData[[#This Row],[UNIT PRICE ($)]]*InputData[[#This Row],[QUANTITY]]</f>
        <v>498.48</v>
      </c>
      <c r="G567" s="1" t="str">
        <f>VLOOKUP(InputData[[#This Row],[CUSTOMER NAME]],Country[#All],2,0)</f>
        <v>Mexico</v>
      </c>
      <c r="H567" s="1" t="str">
        <f>VLOOKUP(InputData[[#This Row],[CUSTOMER NAME]],Country[#All],3,0)</f>
        <v>Export</v>
      </c>
      <c r="I567" s="1" t="str">
        <f>TEXT(InputData[[#This Row],[DATE]],"MMM")</f>
        <v>Aug</v>
      </c>
      <c r="J567" s="1">
        <f>WEEKNUM(InputData[[#This Row],[DATE]])</f>
        <v>36</v>
      </c>
    </row>
    <row r="568" spans="1:10" x14ac:dyDescent="0.25">
      <c r="A568" s="3">
        <v>44439</v>
      </c>
      <c r="B568" s="6" t="s">
        <v>69</v>
      </c>
      <c r="C568" s="4" t="s">
        <v>1</v>
      </c>
      <c r="D568" s="5">
        <v>103.88</v>
      </c>
      <c r="E568" s="1">
        <v>2</v>
      </c>
      <c r="F568" s="1">
        <f>InputData[[#This Row],[UNIT PRICE ($)]]*InputData[[#This Row],[QUANTITY]]</f>
        <v>207.76</v>
      </c>
      <c r="G568" s="1" t="str">
        <f>VLOOKUP(InputData[[#This Row],[CUSTOMER NAME]],Country[#All],2,0)</f>
        <v>India</v>
      </c>
      <c r="H568" s="1" t="str">
        <f>VLOOKUP(InputData[[#This Row],[CUSTOMER NAME]],Country[#All],3,0)</f>
        <v>South</v>
      </c>
      <c r="I568" s="1" t="str">
        <f>TEXT(InputData[[#This Row],[DATE]],"MMM")</f>
        <v>Aug</v>
      </c>
      <c r="J568" s="1">
        <f>WEEKNUM(InputData[[#This Row],[DATE]])</f>
        <v>36</v>
      </c>
    </row>
    <row r="569" spans="1:10" x14ac:dyDescent="0.25">
      <c r="A569" s="3">
        <v>44439</v>
      </c>
      <c r="B569" s="6" t="s">
        <v>69</v>
      </c>
      <c r="C569" s="4" t="s">
        <v>15</v>
      </c>
      <c r="D569" s="5">
        <v>15.719999999999999</v>
      </c>
      <c r="E569" s="1">
        <v>13</v>
      </c>
      <c r="F569" s="1">
        <f>InputData[[#This Row],[UNIT PRICE ($)]]*InputData[[#This Row],[QUANTITY]]</f>
        <v>204.35999999999999</v>
      </c>
      <c r="G569" s="1" t="str">
        <f>VLOOKUP(InputData[[#This Row],[CUSTOMER NAME]],Country[#All],2,0)</f>
        <v>India</v>
      </c>
      <c r="H569" s="1" t="str">
        <f>VLOOKUP(InputData[[#This Row],[CUSTOMER NAME]],Country[#All],3,0)</f>
        <v>South</v>
      </c>
      <c r="I569" s="1" t="str">
        <f>TEXT(InputData[[#This Row],[DATE]],"MMM")</f>
        <v>Aug</v>
      </c>
      <c r="J569" s="1">
        <f>WEEKNUM(InputData[[#This Row],[DATE]])</f>
        <v>36</v>
      </c>
    </row>
    <row r="570" spans="1:10" x14ac:dyDescent="0.25">
      <c r="A570" s="3">
        <v>44439</v>
      </c>
      <c r="B570" s="6" t="s">
        <v>75</v>
      </c>
      <c r="C570" s="4" t="s">
        <v>35</v>
      </c>
      <c r="D570" s="5">
        <v>6.7</v>
      </c>
      <c r="E570" s="1">
        <v>11</v>
      </c>
      <c r="F570" s="1">
        <f>InputData[[#This Row],[UNIT PRICE ($)]]*InputData[[#This Row],[QUANTITY]]</f>
        <v>73.7</v>
      </c>
      <c r="G570" s="1" t="str">
        <f>VLOOKUP(InputData[[#This Row],[CUSTOMER NAME]],Country[#All],2,0)</f>
        <v>Russia</v>
      </c>
      <c r="H570" s="1" t="str">
        <f>VLOOKUP(InputData[[#This Row],[CUSTOMER NAME]],Country[#All],3,0)</f>
        <v>Export</v>
      </c>
      <c r="I570" s="1" t="str">
        <f>TEXT(InputData[[#This Row],[DATE]],"MMM")</f>
        <v>Aug</v>
      </c>
      <c r="J570" s="1">
        <f>WEEKNUM(InputData[[#This Row],[DATE]])</f>
        <v>36</v>
      </c>
    </row>
    <row r="571" spans="1:10" x14ac:dyDescent="0.25">
      <c r="A571" s="3">
        <v>44439</v>
      </c>
      <c r="B571" s="6" t="s">
        <v>85</v>
      </c>
      <c r="C571" s="4" t="s">
        <v>21</v>
      </c>
      <c r="D571" s="5">
        <v>162.54</v>
      </c>
      <c r="E571" s="1">
        <v>6</v>
      </c>
      <c r="F571" s="1">
        <f>InputData[[#This Row],[UNIT PRICE ($)]]*InputData[[#This Row],[QUANTITY]]</f>
        <v>975.24</v>
      </c>
      <c r="G571" s="1" t="str">
        <f>VLOOKUP(InputData[[#This Row],[CUSTOMER NAME]],Country[#All],2,0)</f>
        <v>India</v>
      </c>
      <c r="H571" s="1" t="str">
        <f>VLOOKUP(InputData[[#This Row],[CUSTOMER NAME]],Country[#All],3,0)</f>
        <v>Northeast</v>
      </c>
      <c r="I571" s="1" t="str">
        <f>TEXT(InputData[[#This Row],[DATE]],"MMM")</f>
        <v>Aug</v>
      </c>
      <c r="J571" s="1">
        <f>WEEKNUM(InputData[[#This Row],[DATE]])</f>
        <v>36</v>
      </c>
    </row>
    <row r="572" spans="1:10" x14ac:dyDescent="0.25">
      <c r="A572" s="3">
        <v>44440</v>
      </c>
      <c r="B572" s="6" t="s">
        <v>64</v>
      </c>
      <c r="C572" s="4" t="s">
        <v>3</v>
      </c>
      <c r="D572" s="5">
        <v>80.94</v>
      </c>
      <c r="E572" s="1">
        <v>14</v>
      </c>
      <c r="F572" s="1">
        <f>InputData[[#This Row],[UNIT PRICE ($)]]*InputData[[#This Row],[QUANTITY]]</f>
        <v>1133.1599999999999</v>
      </c>
      <c r="G572" s="1" t="str">
        <f>VLOOKUP(InputData[[#This Row],[CUSTOMER NAME]],Country[#All],2,0)</f>
        <v>India</v>
      </c>
      <c r="H572" s="1" t="str">
        <f>VLOOKUP(InputData[[#This Row],[CUSTOMER NAME]],Country[#All],3,0)</f>
        <v>Northeast</v>
      </c>
      <c r="I572" s="1" t="str">
        <f>TEXT(InputData[[#This Row],[DATE]],"MMM")</f>
        <v>Sep</v>
      </c>
      <c r="J572" s="1">
        <f>WEEKNUM(InputData[[#This Row],[DATE]])</f>
        <v>36</v>
      </c>
    </row>
    <row r="573" spans="1:10" x14ac:dyDescent="0.25">
      <c r="A573" s="3">
        <v>44440</v>
      </c>
      <c r="B573" s="6" t="s">
        <v>76</v>
      </c>
      <c r="C573" s="4" t="s">
        <v>24</v>
      </c>
      <c r="D573" s="5">
        <v>156.96</v>
      </c>
      <c r="E573" s="1">
        <v>1</v>
      </c>
      <c r="F573" s="1">
        <f>InputData[[#This Row],[UNIT PRICE ($)]]*InputData[[#This Row],[QUANTITY]]</f>
        <v>156.96</v>
      </c>
      <c r="G573" s="1" t="str">
        <f>VLOOKUP(InputData[[#This Row],[CUSTOMER NAME]],Country[#All],2,0)</f>
        <v>Saudi Arabia</v>
      </c>
      <c r="H573" s="1" t="str">
        <f>VLOOKUP(InputData[[#This Row],[CUSTOMER NAME]],Country[#All],3,0)</f>
        <v>Export</v>
      </c>
      <c r="I573" s="1" t="str">
        <f>TEXT(InputData[[#This Row],[DATE]],"MMM")</f>
        <v>Sep</v>
      </c>
      <c r="J573" s="1">
        <f>WEEKNUM(InputData[[#This Row],[DATE]])</f>
        <v>36</v>
      </c>
    </row>
    <row r="574" spans="1:10" x14ac:dyDescent="0.25">
      <c r="A574" s="3">
        <v>44440</v>
      </c>
      <c r="B574" s="6" t="s">
        <v>114</v>
      </c>
      <c r="C574" s="4" t="s">
        <v>15</v>
      </c>
      <c r="D574" s="5">
        <v>15.719999999999999</v>
      </c>
      <c r="E574" s="1">
        <v>11</v>
      </c>
      <c r="F574" s="1">
        <f>InputData[[#This Row],[UNIT PRICE ($)]]*InputData[[#This Row],[QUANTITY]]</f>
        <v>172.92</v>
      </c>
      <c r="G574" s="1" t="str">
        <f>VLOOKUP(InputData[[#This Row],[CUSTOMER NAME]],Country[#All],2,0)</f>
        <v>United States of America</v>
      </c>
      <c r="H574" s="1" t="str">
        <f>VLOOKUP(InputData[[#This Row],[CUSTOMER NAME]],Country[#All],3,0)</f>
        <v>Export</v>
      </c>
      <c r="I574" s="1" t="str">
        <f>TEXT(InputData[[#This Row],[DATE]],"MMM")</f>
        <v>Sep</v>
      </c>
      <c r="J574" s="1">
        <f>WEEKNUM(InputData[[#This Row],[DATE]])</f>
        <v>36</v>
      </c>
    </row>
    <row r="575" spans="1:10" x14ac:dyDescent="0.25">
      <c r="A575" s="3">
        <v>44442</v>
      </c>
      <c r="B575" s="6" t="s">
        <v>85</v>
      </c>
      <c r="C575" s="4" t="s">
        <v>41</v>
      </c>
      <c r="D575" s="5">
        <v>173.88</v>
      </c>
      <c r="E575" s="1">
        <v>8</v>
      </c>
      <c r="F575" s="1">
        <f>InputData[[#This Row],[UNIT PRICE ($)]]*InputData[[#This Row],[QUANTITY]]</f>
        <v>1391.04</v>
      </c>
      <c r="G575" s="1" t="str">
        <f>VLOOKUP(InputData[[#This Row],[CUSTOMER NAME]],Country[#All],2,0)</f>
        <v>India</v>
      </c>
      <c r="H575" s="1" t="str">
        <f>VLOOKUP(InputData[[#This Row],[CUSTOMER NAME]],Country[#All],3,0)</f>
        <v>Northeast</v>
      </c>
      <c r="I575" s="1" t="str">
        <f>TEXT(InputData[[#This Row],[DATE]],"MMM")</f>
        <v>Sep</v>
      </c>
      <c r="J575" s="1">
        <f>WEEKNUM(InputData[[#This Row],[DATE]])</f>
        <v>36</v>
      </c>
    </row>
    <row r="576" spans="1:10" x14ac:dyDescent="0.25">
      <c r="A576" s="3">
        <v>44442</v>
      </c>
      <c r="B576" s="6" t="s">
        <v>88</v>
      </c>
      <c r="C576" s="4" t="s">
        <v>16</v>
      </c>
      <c r="D576" s="5">
        <v>16.64</v>
      </c>
      <c r="E576" s="1">
        <v>28</v>
      </c>
      <c r="F576" s="1">
        <f>InputData[[#This Row],[UNIT PRICE ($)]]*InputData[[#This Row],[QUANTITY]]</f>
        <v>465.92</v>
      </c>
      <c r="G576" s="1" t="str">
        <f>VLOOKUP(InputData[[#This Row],[CUSTOMER NAME]],Country[#All],2,0)</f>
        <v>India</v>
      </c>
      <c r="H576" s="1" t="str">
        <f>VLOOKUP(InputData[[#This Row],[CUSTOMER NAME]],Country[#All],3,0)</f>
        <v>South</v>
      </c>
      <c r="I576" s="1" t="str">
        <f>TEXT(InputData[[#This Row],[DATE]],"MMM")</f>
        <v>Sep</v>
      </c>
      <c r="J576" s="1">
        <f>WEEKNUM(InputData[[#This Row],[DATE]])</f>
        <v>36</v>
      </c>
    </row>
    <row r="577" spans="1:10" x14ac:dyDescent="0.25">
      <c r="A577" s="3">
        <v>44443</v>
      </c>
      <c r="B577" s="6" t="s">
        <v>78</v>
      </c>
      <c r="C577" s="4" t="s">
        <v>35</v>
      </c>
      <c r="D577" s="5">
        <v>6.7</v>
      </c>
      <c r="E577" s="1">
        <v>1</v>
      </c>
      <c r="F577" s="1">
        <f>InputData[[#This Row],[UNIT PRICE ($)]]*InputData[[#This Row],[QUANTITY]]</f>
        <v>6.7</v>
      </c>
      <c r="G577" s="1" t="str">
        <f>VLOOKUP(InputData[[#This Row],[CUSTOMER NAME]],Country[#All],2,0)</f>
        <v>India</v>
      </c>
      <c r="H577" s="1" t="str">
        <f>VLOOKUP(InputData[[#This Row],[CUSTOMER NAME]],Country[#All],3,0)</f>
        <v>Central</v>
      </c>
      <c r="I577" s="1" t="str">
        <f>TEXT(InputData[[#This Row],[DATE]],"MMM")</f>
        <v>Sep</v>
      </c>
      <c r="J577" s="1">
        <f>WEEKNUM(InputData[[#This Row],[DATE]])</f>
        <v>36</v>
      </c>
    </row>
    <row r="578" spans="1:10" x14ac:dyDescent="0.25">
      <c r="A578" s="3">
        <v>44443</v>
      </c>
      <c r="B578" s="6" t="s">
        <v>81</v>
      </c>
      <c r="C578" s="4" t="s">
        <v>23</v>
      </c>
      <c r="D578" s="5">
        <v>149.46</v>
      </c>
      <c r="E578" s="1">
        <v>15</v>
      </c>
      <c r="F578" s="1">
        <f>InputData[[#This Row],[UNIT PRICE ($)]]*InputData[[#This Row],[QUANTITY]]</f>
        <v>2241.9</v>
      </c>
      <c r="G578" s="1" t="str">
        <f>VLOOKUP(InputData[[#This Row],[CUSTOMER NAME]],Country[#All],2,0)</f>
        <v>India</v>
      </c>
      <c r="H578" s="1" t="str">
        <f>VLOOKUP(InputData[[#This Row],[CUSTOMER NAME]],Country[#All],3,0)</f>
        <v>East</v>
      </c>
      <c r="I578" s="1" t="str">
        <f>TEXT(InputData[[#This Row],[DATE]],"MMM")</f>
        <v>Sep</v>
      </c>
      <c r="J578" s="1">
        <f>WEEKNUM(InputData[[#This Row],[DATE]])</f>
        <v>36</v>
      </c>
    </row>
    <row r="579" spans="1:10" x14ac:dyDescent="0.25">
      <c r="A579" s="3">
        <v>44443</v>
      </c>
      <c r="B579" s="6" t="s">
        <v>84</v>
      </c>
      <c r="C579" s="4" t="s">
        <v>28</v>
      </c>
      <c r="D579" s="5">
        <v>41.81</v>
      </c>
      <c r="E579" s="1">
        <v>7</v>
      </c>
      <c r="F579" s="1">
        <f>InputData[[#This Row],[UNIT PRICE ($)]]*InputData[[#This Row],[QUANTITY]]</f>
        <v>292.67</v>
      </c>
      <c r="G579" s="1" t="str">
        <f>VLOOKUP(InputData[[#This Row],[CUSTOMER NAME]],Country[#All],2,0)</f>
        <v>Ethiopia</v>
      </c>
      <c r="H579" s="1" t="str">
        <f>VLOOKUP(InputData[[#This Row],[CUSTOMER NAME]],Country[#All],3,0)</f>
        <v>Export</v>
      </c>
      <c r="I579" s="1" t="str">
        <f>TEXT(InputData[[#This Row],[DATE]],"MMM")</f>
        <v>Sep</v>
      </c>
      <c r="J579" s="1">
        <f>WEEKNUM(InputData[[#This Row],[DATE]])</f>
        <v>36</v>
      </c>
    </row>
    <row r="580" spans="1:10" x14ac:dyDescent="0.25">
      <c r="A580" s="3">
        <v>44443</v>
      </c>
      <c r="B580" s="6" t="s">
        <v>84</v>
      </c>
      <c r="C580" s="4" t="s">
        <v>1</v>
      </c>
      <c r="D580" s="5">
        <v>103.88</v>
      </c>
      <c r="E580" s="1">
        <v>34</v>
      </c>
      <c r="F580" s="1">
        <f>InputData[[#This Row],[UNIT PRICE ($)]]*InputData[[#This Row],[QUANTITY]]</f>
        <v>3531.92</v>
      </c>
      <c r="G580" s="1" t="str">
        <f>VLOOKUP(InputData[[#This Row],[CUSTOMER NAME]],Country[#All],2,0)</f>
        <v>Ethiopia</v>
      </c>
      <c r="H580" s="1" t="str">
        <f>VLOOKUP(InputData[[#This Row],[CUSTOMER NAME]],Country[#All],3,0)</f>
        <v>Export</v>
      </c>
      <c r="I580" s="1" t="str">
        <f>TEXT(InputData[[#This Row],[DATE]],"MMM")</f>
        <v>Sep</v>
      </c>
      <c r="J580" s="1">
        <f>WEEKNUM(InputData[[#This Row],[DATE]])</f>
        <v>36</v>
      </c>
    </row>
    <row r="581" spans="1:10" x14ac:dyDescent="0.25">
      <c r="A581" s="3">
        <v>44443</v>
      </c>
      <c r="B581" s="6" t="s">
        <v>84</v>
      </c>
      <c r="C581" s="4" t="s">
        <v>2</v>
      </c>
      <c r="D581" s="5">
        <v>142.80000000000001</v>
      </c>
      <c r="E581" s="1">
        <v>1</v>
      </c>
      <c r="F581" s="1">
        <f>InputData[[#This Row],[UNIT PRICE ($)]]*InputData[[#This Row],[QUANTITY]]</f>
        <v>142.80000000000001</v>
      </c>
      <c r="G581" s="1" t="str">
        <f>VLOOKUP(InputData[[#This Row],[CUSTOMER NAME]],Country[#All],2,0)</f>
        <v>Ethiopia</v>
      </c>
      <c r="H581" s="1" t="str">
        <f>VLOOKUP(InputData[[#This Row],[CUSTOMER NAME]],Country[#All],3,0)</f>
        <v>Export</v>
      </c>
      <c r="I581" s="1" t="str">
        <f>TEXT(InputData[[#This Row],[DATE]],"MMM")</f>
        <v>Sep</v>
      </c>
      <c r="J581" s="1">
        <f>WEEKNUM(InputData[[#This Row],[DATE]])</f>
        <v>36</v>
      </c>
    </row>
    <row r="582" spans="1:10" x14ac:dyDescent="0.25">
      <c r="A582" s="3">
        <v>44444</v>
      </c>
      <c r="B582" s="6" t="s">
        <v>64</v>
      </c>
      <c r="C582" s="4" t="s">
        <v>32</v>
      </c>
      <c r="D582" s="5">
        <v>117.48</v>
      </c>
      <c r="E582" s="1">
        <v>1</v>
      </c>
      <c r="F582" s="1">
        <f>InputData[[#This Row],[UNIT PRICE ($)]]*InputData[[#This Row],[QUANTITY]]</f>
        <v>117.48</v>
      </c>
      <c r="G582" s="1" t="str">
        <f>VLOOKUP(InputData[[#This Row],[CUSTOMER NAME]],Country[#All],2,0)</f>
        <v>India</v>
      </c>
      <c r="H582" s="1" t="str">
        <f>VLOOKUP(InputData[[#This Row],[CUSTOMER NAME]],Country[#All],3,0)</f>
        <v>Northeast</v>
      </c>
      <c r="I582" s="1" t="str">
        <f>TEXT(InputData[[#This Row],[DATE]],"MMM")</f>
        <v>Sep</v>
      </c>
      <c r="J582" s="1">
        <f>WEEKNUM(InputData[[#This Row],[DATE]])</f>
        <v>37</v>
      </c>
    </row>
    <row r="583" spans="1:10" x14ac:dyDescent="0.25">
      <c r="A583" s="3">
        <v>44444</v>
      </c>
      <c r="B583" s="6" t="s">
        <v>117</v>
      </c>
      <c r="C583" s="4" t="s">
        <v>7</v>
      </c>
      <c r="D583" s="5">
        <v>47.730000000000004</v>
      </c>
      <c r="E583" s="1">
        <v>35</v>
      </c>
      <c r="F583" s="1">
        <f>InputData[[#This Row],[UNIT PRICE ($)]]*InputData[[#This Row],[QUANTITY]]</f>
        <v>1670.5500000000002</v>
      </c>
      <c r="G583" s="1" t="str">
        <f>VLOOKUP(InputData[[#This Row],[CUSTOMER NAME]],Country[#All],2,0)</f>
        <v>United States of America</v>
      </c>
      <c r="H583" s="1" t="str">
        <f>VLOOKUP(InputData[[#This Row],[CUSTOMER NAME]],Country[#All],3,0)</f>
        <v>Export</v>
      </c>
      <c r="I583" s="1" t="str">
        <f>TEXT(InputData[[#This Row],[DATE]],"MMM")</f>
        <v>Sep</v>
      </c>
      <c r="J583" s="1">
        <f>WEEKNUM(InputData[[#This Row],[DATE]])</f>
        <v>37</v>
      </c>
    </row>
    <row r="584" spans="1:10" x14ac:dyDescent="0.25">
      <c r="A584" s="3">
        <v>44445</v>
      </c>
      <c r="B584" s="6" t="s">
        <v>74</v>
      </c>
      <c r="C584" s="4" t="s">
        <v>31</v>
      </c>
      <c r="D584" s="5">
        <v>104.16</v>
      </c>
      <c r="E584" s="1">
        <v>20</v>
      </c>
      <c r="F584" s="1">
        <f>InputData[[#This Row],[UNIT PRICE ($)]]*InputData[[#This Row],[QUANTITY]]</f>
        <v>2083.1999999999998</v>
      </c>
      <c r="G584" s="1" t="str">
        <f>VLOOKUP(InputData[[#This Row],[CUSTOMER NAME]],Country[#All],2,0)</f>
        <v>Brazil</v>
      </c>
      <c r="H584" s="1" t="str">
        <f>VLOOKUP(InputData[[#This Row],[CUSTOMER NAME]],Country[#All],3,0)</f>
        <v>Export</v>
      </c>
      <c r="I584" s="1" t="str">
        <f>TEXT(InputData[[#This Row],[DATE]],"MMM")</f>
        <v>Sep</v>
      </c>
      <c r="J584" s="1">
        <f>WEEKNUM(InputData[[#This Row],[DATE]])</f>
        <v>37</v>
      </c>
    </row>
    <row r="585" spans="1:10" x14ac:dyDescent="0.25">
      <c r="A585" s="3">
        <v>44445</v>
      </c>
      <c r="B585" s="6" t="s">
        <v>77</v>
      </c>
      <c r="C585" s="4" t="s">
        <v>5</v>
      </c>
      <c r="D585" s="5">
        <v>155.61000000000001</v>
      </c>
      <c r="E585" s="1">
        <v>12</v>
      </c>
      <c r="F585" s="1">
        <f>InputData[[#This Row],[UNIT PRICE ($)]]*InputData[[#This Row],[QUANTITY]]</f>
        <v>1867.3200000000002</v>
      </c>
      <c r="G585" s="1" t="str">
        <f>VLOOKUP(InputData[[#This Row],[CUSTOMER NAME]],Country[#All],2,0)</f>
        <v>India</v>
      </c>
      <c r="H585" s="1" t="str">
        <f>VLOOKUP(InputData[[#This Row],[CUSTOMER NAME]],Country[#All],3,0)</f>
        <v>Western</v>
      </c>
      <c r="I585" s="1" t="str">
        <f>TEXT(InputData[[#This Row],[DATE]],"MMM")</f>
        <v>Sep</v>
      </c>
      <c r="J585" s="1">
        <f>WEEKNUM(InputData[[#This Row],[DATE]])</f>
        <v>37</v>
      </c>
    </row>
    <row r="586" spans="1:10" x14ac:dyDescent="0.25">
      <c r="A586" s="3">
        <v>44446</v>
      </c>
      <c r="B586" s="6" t="s">
        <v>60</v>
      </c>
      <c r="C586" s="4" t="s">
        <v>19</v>
      </c>
      <c r="D586" s="5">
        <v>210</v>
      </c>
      <c r="E586" s="1">
        <v>5</v>
      </c>
      <c r="F586" s="1">
        <f>InputData[[#This Row],[UNIT PRICE ($)]]*InputData[[#This Row],[QUANTITY]]</f>
        <v>1050</v>
      </c>
      <c r="G586" s="1" t="str">
        <f>VLOOKUP(InputData[[#This Row],[CUSTOMER NAME]],Country[#All],2,0)</f>
        <v>Nigeria</v>
      </c>
      <c r="H586" s="1" t="str">
        <f>VLOOKUP(InputData[[#This Row],[CUSTOMER NAME]],Country[#All],3,0)</f>
        <v>Export</v>
      </c>
      <c r="I586" s="1" t="str">
        <f>TEXT(InputData[[#This Row],[DATE]],"MMM")</f>
        <v>Sep</v>
      </c>
      <c r="J586" s="1">
        <f>WEEKNUM(InputData[[#This Row],[DATE]])</f>
        <v>37</v>
      </c>
    </row>
    <row r="587" spans="1:10" x14ac:dyDescent="0.25">
      <c r="A587" s="3">
        <v>44447</v>
      </c>
      <c r="B587" s="6" t="s">
        <v>81</v>
      </c>
      <c r="C587" s="4" t="s">
        <v>12</v>
      </c>
      <c r="D587" s="5">
        <v>94.17</v>
      </c>
      <c r="E587" s="1">
        <v>23</v>
      </c>
      <c r="F587" s="1">
        <f>InputData[[#This Row],[UNIT PRICE ($)]]*InputData[[#This Row],[QUANTITY]]</f>
        <v>2165.91</v>
      </c>
      <c r="G587" s="1" t="str">
        <f>VLOOKUP(InputData[[#This Row],[CUSTOMER NAME]],Country[#All],2,0)</f>
        <v>India</v>
      </c>
      <c r="H587" s="1" t="str">
        <f>VLOOKUP(InputData[[#This Row],[CUSTOMER NAME]],Country[#All],3,0)</f>
        <v>East</v>
      </c>
      <c r="I587" s="1" t="str">
        <f>TEXT(InputData[[#This Row],[DATE]],"MMM")</f>
        <v>Sep</v>
      </c>
      <c r="J587" s="1">
        <f>WEEKNUM(InputData[[#This Row],[DATE]])</f>
        <v>37</v>
      </c>
    </row>
    <row r="588" spans="1:10" x14ac:dyDescent="0.25">
      <c r="A588" s="3">
        <v>44448</v>
      </c>
      <c r="B588" s="6" t="s">
        <v>78</v>
      </c>
      <c r="C588" s="4" t="s">
        <v>3</v>
      </c>
      <c r="D588" s="5">
        <v>80.94</v>
      </c>
      <c r="E588" s="1">
        <v>3</v>
      </c>
      <c r="F588" s="1">
        <f>InputData[[#This Row],[UNIT PRICE ($)]]*InputData[[#This Row],[QUANTITY]]</f>
        <v>242.82</v>
      </c>
      <c r="G588" s="1" t="str">
        <f>VLOOKUP(InputData[[#This Row],[CUSTOMER NAME]],Country[#All],2,0)</f>
        <v>India</v>
      </c>
      <c r="H588" s="1" t="str">
        <f>VLOOKUP(InputData[[#This Row],[CUSTOMER NAME]],Country[#All],3,0)</f>
        <v>Central</v>
      </c>
      <c r="I588" s="1" t="str">
        <f>TEXT(InputData[[#This Row],[DATE]],"MMM")</f>
        <v>Sep</v>
      </c>
      <c r="J588" s="1">
        <f>WEEKNUM(InputData[[#This Row],[DATE]])</f>
        <v>37</v>
      </c>
    </row>
    <row r="589" spans="1:10" x14ac:dyDescent="0.25">
      <c r="A589" s="3">
        <v>44448</v>
      </c>
      <c r="B589" s="6" t="s">
        <v>79</v>
      </c>
      <c r="C589" s="4" t="s">
        <v>41</v>
      </c>
      <c r="D589" s="5">
        <v>173.88</v>
      </c>
      <c r="E589" s="1">
        <v>9</v>
      </c>
      <c r="F589" s="1">
        <f>InputData[[#This Row],[UNIT PRICE ($)]]*InputData[[#This Row],[QUANTITY]]</f>
        <v>1564.92</v>
      </c>
      <c r="G589" s="1" t="str">
        <f>VLOOKUP(InputData[[#This Row],[CUSTOMER NAME]],Country[#All],2,0)</f>
        <v>United Kingdom</v>
      </c>
      <c r="H589" s="1" t="str">
        <f>VLOOKUP(InputData[[#This Row],[CUSTOMER NAME]],Country[#All],3,0)</f>
        <v>Export</v>
      </c>
      <c r="I589" s="1" t="str">
        <f>TEXT(InputData[[#This Row],[DATE]],"MMM")</f>
        <v>Sep</v>
      </c>
      <c r="J589" s="1">
        <f>WEEKNUM(InputData[[#This Row],[DATE]])</f>
        <v>37</v>
      </c>
    </row>
    <row r="590" spans="1:10" x14ac:dyDescent="0.25">
      <c r="A590" s="3">
        <v>44448</v>
      </c>
      <c r="B590" s="6" t="s">
        <v>85</v>
      </c>
      <c r="C590" s="4" t="s">
        <v>44</v>
      </c>
      <c r="D590" s="5">
        <v>82.08</v>
      </c>
      <c r="E590" s="1">
        <v>4</v>
      </c>
      <c r="F590" s="1">
        <f>InputData[[#This Row],[UNIT PRICE ($)]]*InputData[[#This Row],[QUANTITY]]</f>
        <v>328.32</v>
      </c>
      <c r="G590" s="1" t="str">
        <f>VLOOKUP(InputData[[#This Row],[CUSTOMER NAME]],Country[#All],2,0)</f>
        <v>India</v>
      </c>
      <c r="H590" s="1" t="str">
        <f>VLOOKUP(InputData[[#This Row],[CUSTOMER NAME]],Country[#All],3,0)</f>
        <v>Northeast</v>
      </c>
      <c r="I590" s="1" t="str">
        <f>TEXT(InputData[[#This Row],[DATE]],"MMM")</f>
        <v>Sep</v>
      </c>
      <c r="J590" s="1">
        <f>WEEKNUM(InputData[[#This Row],[DATE]])</f>
        <v>37</v>
      </c>
    </row>
    <row r="591" spans="1:10" x14ac:dyDescent="0.25">
      <c r="A591" s="3">
        <v>44448</v>
      </c>
      <c r="B591" s="6" t="s">
        <v>88</v>
      </c>
      <c r="C591" s="4" t="s">
        <v>11</v>
      </c>
      <c r="D591" s="5">
        <v>48.4</v>
      </c>
      <c r="E591" s="1">
        <v>26</v>
      </c>
      <c r="F591" s="1">
        <f>InputData[[#This Row],[UNIT PRICE ($)]]*InputData[[#This Row],[QUANTITY]]</f>
        <v>1258.3999999999999</v>
      </c>
      <c r="G591" s="1" t="str">
        <f>VLOOKUP(InputData[[#This Row],[CUSTOMER NAME]],Country[#All],2,0)</f>
        <v>India</v>
      </c>
      <c r="H591" s="1" t="str">
        <f>VLOOKUP(InputData[[#This Row],[CUSTOMER NAME]],Country[#All],3,0)</f>
        <v>South</v>
      </c>
      <c r="I591" s="1" t="str">
        <f>TEXT(InputData[[#This Row],[DATE]],"MMM")</f>
        <v>Sep</v>
      </c>
      <c r="J591" s="1">
        <f>WEEKNUM(InputData[[#This Row],[DATE]])</f>
        <v>37</v>
      </c>
    </row>
    <row r="592" spans="1:10" x14ac:dyDescent="0.25">
      <c r="A592" s="3">
        <v>44449</v>
      </c>
      <c r="B592" s="6" t="s">
        <v>65</v>
      </c>
      <c r="C592" s="4" t="s">
        <v>38</v>
      </c>
      <c r="D592" s="5">
        <v>79.92</v>
      </c>
      <c r="E592" s="1">
        <v>4</v>
      </c>
      <c r="F592" s="1">
        <f>InputData[[#This Row],[UNIT PRICE ($)]]*InputData[[#This Row],[QUANTITY]]</f>
        <v>319.68</v>
      </c>
      <c r="G592" s="1" t="str">
        <f>VLOOKUP(InputData[[#This Row],[CUSTOMER NAME]],Country[#All],2,0)</f>
        <v>Pakistan</v>
      </c>
      <c r="H592" s="1" t="str">
        <f>VLOOKUP(InputData[[#This Row],[CUSTOMER NAME]],Country[#All],3,0)</f>
        <v>Export</v>
      </c>
      <c r="I592" s="1" t="str">
        <f>TEXT(InputData[[#This Row],[DATE]],"MMM")</f>
        <v>Sep</v>
      </c>
      <c r="J592" s="1">
        <f>WEEKNUM(InputData[[#This Row],[DATE]])</f>
        <v>37</v>
      </c>
    </row>
    <row r="593" spans="1:10" x14ac:dyDescent="0.25">
      <c r="A593" s="3">
        <v>44449</v>
      </c>
      <c r="B593" s="6" t="s">
        <v>80</v>
      </c>
      <c r="C593" s="4" t="s">
        <v>1</v>
      </c>
      <c r="D593" s="5">
        <v>103.88</v>
      </c>
      <c r="E593" s="1">
        <v>9</v>
      </c>
      <c r="F593" s="1">
        <f>InputData[[#This Row],[UNIT PRICE ($)]]*InputData[[#This Row],[QUANTITY]]</f>
        <v>934.92</v>
      </c>
      <c r="G593" s="1" t="str">
        <f>VLOOKUP(InputData[[#This Row],[CUSTOMER NAME]],Country[#All],2,0)</f>
        <v>South Africa</v>
      </c>
      <c r="H593" s="1" t="str">
        <f>VLOOKUP(InputData[[#This Row],[CUSTOMER NAME]],Country[#All],3,0)</f>
        <v>Export</v>
      </c>
      <c r="I593" s="1" t="str">
        <f>TEXT(InputData[[#This Row],[DATE]],"MMM")</f>
        <v>Sep</v>
      </c>
      <c r="J593" s="1">
        <f>WEEKNUM(InputData[[#This Row],[DATE]])</f>
        <v>37</v>
      </c>
    </row>
    <row r="594" spans="1:10" x14ac:dyDescent="0.25">
      <c r="A594" s="3">
        <v>44449</v>
      </c>
      <c r="B594" s="6" t="s">
        <v>82</v>
      </c>
      <c r="C594" s="4" t="s">
        <v>30</v>
      </c>
      <c r="D594" s="5">
        <v>201.28</v>
      </c>
      <c r="E594" s="1">
        <v>6</v>
      </c>
      <c r="F594" s="1">
        <f>InputData[[#This Row],[UNIT PRICE ($)]]*InputData[[#This Row],[QUANTITY]]</f>
        <v>1207.68</v>
      </c>
      <c r="G594" s="1" t="str">
        <f>VLOOKUP(InputData[[#This Row],[CUSTOMER NAME]],Country[#All],2,0)</f>
        <v>India</v>
      </c>
      <c r="H594" s="1" t="str">
        <f>VLOOKUP(InputData[[#This Row],[CUSTOMER NAME]],Country[#All],3,0)</f>
        <v>Western</v>
      </c>
      <c r="I594" s="1" t="str">
        <f>TEXT(InputData[[#This Row],[DATE]],"MMM")</f>
        <v>Sep</v>
      </c>
      <c r="J594" s="1">
        <f>WEEKNUM(InputData[[#This Row],[DATE]])</f>
        <v>37</v>
      </c>
    </row>
    <row r="595" spans="1:10" x14ac:dyDescent="0.25">
      <c r="A595" s="3">
        <v>44449</v>
      </c>
      <c r="B595" s="6" t="s">
        <v>82</v>
      </c>
      <c r="C595" s="4" t="s">
        <v>26</v>
      </c>
      <c r="D595" s="5">
        <v>24.66</v>
      </c>
      <c r="E595" s="1">
        <v>2</v>
      </c>
      <c r="F595" s="1">
        <f>InputData[[#This Row],[UNIT PRICE ($)]]*InputData[[#This Row],[QUANTITY]]</f>
        <v>49.32</v>
      </c>
      <c r="G595" s="1" t="str">
        <f>VLOOKUP(InputData[[#This Row],[CUSTOMER NAME]],Country[#All],2,0)</f>
        <v>India</v>
      </c>
      <c r="H595" s="1" t="str">
        <f>VLOOKUP(InputData[[#This Row],[CUSTOMER NAME]],Country[#All],3,0)</f>
        <v>Western</v>
      </c>
      <c r="I595" s="1" t="str">
        <f>TEXT(InputData[[#This Row],[DATE]],"MMM")</f>
        <v>Sep</v>
      </c>
      <c r="J595" s="1">
        <f>WEEKNUM(InputData[[#This Row],[DATE]])</f>
        <v>37</v>
      </c>
    </row>
    <row r="596" spans="1:10" x14ac:dyDescent="0.25">
      <c r="A596" s="3">
        <v>44449</v>
      </c>
      <c r="B596" s="6" t="s">
        <v>117</v>
      </c>
      <c r="C596" s="4" t="s">
        <v>35</v>
      </c>
      <c r="D596" s="5">
        <v>6.7</v>
      </c>
      <c r="E596" s="1">
        <v>15</v>
      </c>
      <c r="F596" s="1">
        <f>InputData[[#This Row],[UNIT PRICE ($)]]*InputData[[#This Row],[QUANTITY]]</f>
        <v>100.5</v>
      </c>
      <c r="G596" s="1" t="str">
        <f>VLOOKUP(InputData[[#This Row],[CUSTOMER NAME]],Country[#All],2,0)</f>
        <v>United States of America</v>
      </c>
      <c r="H596" s="1" t="str">
        <f>VLOOKUP(InputData[[#This Row],[CUSTOMER NAME]],Country[#All],3,0)</f>
        <v>Export</v>
      </c>
      <c r="I596" s="1" t="str">
        <f>TEXT(InputData[[#This Row],[DATE]],"MMM")</f>
        <v>Sep</v>
      </c>
      <c r="J596" s="1">
        <f>WEEKNUM(InputData[[#This Row],[DATE]])</f>
        <v>37</v>
      </c>
    </row>
    <row r="597" spans="1:10" x14ac:dyDescent="0.25">
      <c r="A597" s="3">
        <v>44450</v>
      </c>
      <c r="B597" s="6" t="s">
        <v>69</v>
      </c>
      <c r="C597" s="4" t="s">
        <v>1</v>
      </c>
      <c r="D597" s="5">
        <v>103.88</v>
      </c>
      <c r="E597" s="1">
        <v>6</v>
      </c>
      <c r="F597" s="1">
        <f>InputData[[#This Row],[UNIT PRICE ($)]]*InputData[[#This Row],[QUANTITY]]</f>
        <v>623.28</v>
      </c>
      <c r="G597" s="1" t="str">
        <f>VLOOKUP(InputData[[#This Row],[CUSTOMER NAME]],Country[#All],2,0)</f>
        <v>India</v>
      </c>
      <c r="H597" s="1" t="str">
        <f>VLOOKUP(InputData[[#This Row],[CUSTOMER NAME]],Country[#All],3,0)</f>
        <v>South</v>
      </c>
      <c r="I597" s="1" t="str">
        <f>TEXT(InputData[[#This Row],[DATE]],"MMM")</f>
        <v>Sep</v>
      </c>
      <c r="J597" s="1">
        <f>WEEKNUM(InputData[[#This Row],[DATE]])</f>
        <v>37</v>
      </c>
    </row>
    <row r="598" spans="1:10" x14ac:dyDescent="0.25">
      <c r="A598" s="3">
        <v>44452</v>
      </c>
      <c r="B598" s="6" t="s">
        <v>116</v>
      </c>
      <c r="C598" s="4" t="s">
        <v>41</v>
      </c>
      <c r="D598" s="5">
        <v>173.88</v>
      </c>
      <c r="E598" s="1">
        <v>7</v>
      </c>
      <c r="F598" s="1">
        <f>InputData[[#This Row],[UNIT PRICE ($)]]*InputData[[#This Row],[QUANTITY]]</f>
        <v>1217.1599999999999</v>
      </c>
      <c r="G598" s="1" t="str">
        <f>VLOOKUP(InputData[[#This Row],[CUSTOMER NAME]],Country[#All],2,0)</f>
        <v>Germany</v>
      </c>
      <c r="H598" s="1" t="str">
        <f>VLOOKUP(InputData[[#This Row],[CUSTOMER NAME]],Country[#All],3,0)</f>
        <v>Export</v>
      </c>
      <c r="I598" s="1" t="str">
        <f>TEXT(InputData[[#This Row],[DATE]],"MMM")</f>
        <v>Sep</v>
      </c>
      <c r="J598" s="1">
        <f>WEEKNUM(InputData[[#This Row],[DATE]])</f>
        <v>38</v>
      </c>
    </row>
    <row r="599" spans="1:10" x14ac:dyDescent="0.25">
      <c r="A599" s="3">
        <v>44453</v>
      </c>
      <c r="B599" s="6" t="s">
        <v>69</v>
      </c>
      <c r="C599" s="4" t="s">
        <v>29</v>
      </c>
      <c r="D599" s="5">
        <v>53.11</v>
      </c>
      <c r="E599" s="1">
        <v>3</v>
      </c>
      <c r="F599" s="1">
        <f>InputData[[#This Row],[UNIT PRICE ($)]]*InputData[[#This Row],[QUANTITY]]</f>
        <v>159.32999999999998</v>
      </c>
      <c r="G599" s="1" t="str">
        <f>VLOOKUP(InputData[[#This Row],[CUSTOMER NAME]],Country[#All],2,0)</f>
        <v>India</v>
      </c>
      <c r="H599" s="1" t="str">
        <f>VLOOKUP(InputData[[#This Row],[CUSTOMER NAME]],Country[#All],3,0)</f>
        <v>South</v>
      </c>
      <c r="I599" s="1" t="str">
        <f>TEXT(InputData[[#This Row],[DATE]],"MMM")</f>
        <v>Sep</v>
      </c>
      <c r="J599" s="1">
        <f>WEEKNUM(InputData[[#This Row],[DATE]])</f>
        <v>38</v>
      </c>
    </row>
    <row r="600" spans="1:10" x14ac:dyDescent="0.25">
      <c r="A600" s="3">
        <v>44453</v>
      </c>
      <c r="B600" s="6" t="s">
        <v>81</v>
      </c>
      <c r="C600" s="4" t="s">
        <v>26</v>
      </c>
      <c r="D600" s="5">
        <v>24.66</v>
      </c>
      <c r="E600" s="1">
        <v>34</v>
      </c>
      <c r="F600" s="1">
        <f>InputData[[#This Row],[UNIT PRICE ($)]]*InputData[[#This Row],[QUANTITY]]</f>
        <v>838.44</v>
      </c>
      <c r="G600" s="1" t="str">
        <f>VLOOKUP(InputData[[#This Row],[CUSTOMER NAME]],Country[#All],2,0)</f>
        <v>India</v>
      </c>
      <c r="H600" s="1" t="str">
        <f>VLOOKUP(InputData[[#This Row],[CUSTOMER NAME]],Country[#All],3,0)</f>
        <v>East</v>
      </c>
      <c r="I600" s="1" t="str">
        <f>TEXT(InputData[[#This Row],[DATE]],"MMM")</f>
        <v>Sep</v>
      </c>
      <c r="J600" s="1">
        <f>WEEKNUM(InputData[[#This Row],[DATE]])</f>
        <v>38</v>
      </c>
    </row>
    <row r="601" spans="1:10" x14ac:dyDescent="0.25">
      <c r="A601" s="3">
        <v>44453</v>
      </c>
      <c r="B601" s="6" t="s">
        <v>85</v>
      </c>
      <c r="C601" s="4" t="s">
        <v>11</v>
      </c>
      <c r="D601" s="5">
        <v>48.4</v>
      </c>
      <c r="E601" s="1">
        <v>27</v>
      </c>
      <c r="F601" s="1">
        <f>InputData[[#This Row],[UNIT PRICE ($)]]*InputData[[#This Row],[QUANTITY]]</f>
        <v>1306.8</v>
      </c>
      <c r="G601" s="1" t="str">
        <f>VLOOKUP(InputData[[#This Row],[CUSTOMER NAME]],Country[#All],2,0)</f>
        <v>India</v>
      </c>
      <c r="H601" s="1" t="str">
        <f>VLOOKUP(InputData[[#This Row],[CUSTOMER NAME]],Country[#All],3,0)</f>
        <v>Northeast</v>
      </c>
      <c r="I601" s="1" t="str">
        <f>TEXT(InputData[[#This Row],[DATE]],"MMM")</f>
        <v>Sep</v>
      </c>
      <c r="J601" s="1">
        <f>WEEKNUM(InputData[[#This Row],[DATE]])</f>
        <v>38</v>
      </c>
    </row>
    <row r="602" spans="1:10" x14ac:dyDescent="0.25">
      <c r="A602" s="3">
        <v>44454</v>
      </c>
      <c r="B602" s="6" t="s">
        <v>63</v>
      </c>
      <c r="C602" s="4" t="s">
        <v>38</v>
      </c>
      <c r="D602" s="5">
        <v>79.92</v>
      </c>
      <c r="E602" s="1">
        <v>3</v>
      </c>
      <c r="F602" s="1">
        <f>InputData[[#This Row],[UNIT PRICE ($)]]*InputData[[#This Row],[QUANTITY]]</f>
        <v>239.76</v>
      </c>
      <c r="G602" s="1" t="str">
        <f>VLOOKUP(InputData[[#This Row],[CUSTOMER NAME]],Country[#All],2,0)</f>
        <v>Saudi Arabia</v>
      </c>
      <c r="H602" s="1" t="str">
        <f>VLOOKUP(InputData[[#This Row],[CUSTOMER NAME]],Country[#All],3,0)</f>
        <v>Export</v>
      </c>
      <c r="I602" s="1" t="str">
        <f>TEXT(InputData[[#This Row],[DATE]],"MMM")</f>
        <v>Sep</v>
      </c>
      <c r="J602" s="1">
        <f>WEEKNUM(InputData[[#This Row],[DATE]])</f>
        <v>38</v>
      </c>
    </row>
    <row r="603" spans="1:10" x14ac:dyDescent="0.25">
      <c r="A603" s="3">
        <v>44454</v>
      </c>
      <c r="B603" s="6" t="s">
        <v>67</v>
      </c>
      <c r="C603" s="4" t="s">
        <v>42</v>
      </c>
      <c r="D603" s="5">
        <v>162</v>
      </c>
      <c r="E603" s="1">
        <v>14</v>
      </c>
      <c r="F603" s="1">
        <f>InputData[[#This Row],[UNIT PRICE ($)]]*InputData[[#This Row],[QUANTITY]]</f>
        <v>2268</v>
      </c>
      <c r="G603" s="1" t="str">
        <f>VLOOKUP(InputData[[#This Row],[CUSTOMER NAME]],Country[#All],2,0)</f>
        <v>United Kingdom</v>
      </c>
      <c r="H603" s="1" t="str">
        <f>VLOOKUP(InputData[[#This Row],[CUSTOMER NAME]],Country[#All],3,0)</f>
        <v>Export</v>
      </c>
      <c r="I603" s="1" t="str">
        <f>TEXT(InputData[[#This Row],[DATE]],"MMM")</f>
        <v>Sep</v>
      </c>
      <c r="J603" s="1">
        <f>WEEKNUM(InputData[[#This Row],[DATE]])</f>
        <v>38</v>
      </c>
    </row>
    <row r="604" spans="1:10" x14ac:dyDescent="0.25">
      <c r="A604" s="3">
        <v>44454</v>
      </c>
      <c r="B604" s="6" t="s">
        <v>69</v>
      </c>
      <c r="C604" s="4" t="s">
        <v>42</v>
      </c>
      <c r="D604" s="5">
        <v>162</v>
      </c>
      <c r="E604" s="1">
        <v>6</v>
      </c>
      <c r="F604" s="1">
        <f>InputData[[#This Row],[UNIT PRICE ($)]]*InputData[[#This Row],[QUANTITY]]</f>
        <v>972</v>
      </c>
      <c r="G604" s="1" t="str">
        <f>VLOOKUP(InputData[[#This Row],[CUSTOMER NAME]],Country[#All],2,0)</f>
        <v>India</v>
      </c>
      <c r="H604" s="1" t="str">
        <f>VLOOKUP(InputData[[#This Row],[CUSTOMER NAME]],Country[#All],3,0)</f>
        <v>South</v>
      </c>
      <c r="I604" s="1" t="str">
        <f>TEXT(InputData[[#This Row],[DATE]],"MMM")</f>
        <v>Sep</v>
      </c>
      <c r="J604" s="1">
        <f>WEEKNUM(InputData[[#This Row],[DATE]])</f>
        <v>38</v>
      </c>
    </row>
    <row r="605" spans="1:10" x14ac:dyDescent="0.25">
      <c r="A605" s="3">
        <v>44454</v>
      </c>
      <c r="B605" s="6" t="s">
        <v>76</v>
      </c>
      <c r="C605" s="4" t="s">
        <v>37</v>
      </c>
      <c r="D605" s="5">
        <v>85.76</v>
      </c>
      <c r="E605" s="1">
        <v>15</v>
      </c>
      <c r="F605" s="1">
        <f>InputData[[#This Row],[UNIT PRICE ($)]]*InputData[[#This Row],[QUANTITY]]</f>
        <v>1286.4000000000001</v>
      </c>
      <c r="G605" s="1" t="str">
        <f>VLOOKUP(InputData[[#This Row],[CUSTOMER NAME]],Country[#All],2,0)</f>
        <v>Saudi Arabia</v>
      </c>
      <c r="H605" s="1" t="str">
        <f>VLOOKUP(InputData[[#This Row],[CUSTOMER NAME]],Country[#All],3,0)</f>
        <v>Export</v>
      </c>
      <c r="I605" s="1" t="str">
        <f>TEXT(InputData[[#This Row],[DATE]],"MMM")</f>
        <v>Sep</v>
      </c>
      <c r="J605" s="1">
        <f>WEEKNUM(InputData[[#This Row],[DATE]])</f>
        <v>38</v>
      </c>
    </row>
    <row r="606" spans="1:10" x14ac:dyDescent="0.25">
      <c r="A606" s="3">
        <v>44455</v>
      </c>
      <c r="B606" s="6" t="s">
        <v>70</v>
      </c>
      <c r="C606" s="4" t="s">
        <v>18</v>
      </c>
      <c r="D606" s="5">
        <v>49.21</v>
      </c>
      <c r="E606" s="1">
        <v>11</v>
      </c>
      <c r="F606" s="1">
        <f>InputData[[#This Row],[UNIT PRICE ($)]]*InputData[[#This Row],[QUANTITY]]</f>
        <v>541.31000000000006</v>
      </c>
      <c r="G606" s="1" t="str">
        <f>VLOOKUP(InputData[[#This Row],[CUSTOMER NAME]],Country[#All],2,0)</f>
        <v>Mexico</v>
      </c>
      <c r="H606" s="1" t="str">
        <f>VLOOKUP(InputData[[#This Row],[CUSTOMER NAME]],Country[#All],3,0)</f>
        <v>Export</v>
      </c>
      <c r="I606" s="1" t="str">
        <f>TEXT(InputData[[#This Row],[DATE]],"MMM")</f>
        <v>Sep</v>
      </c>
      <c r="J606" s="1">
        <f>WEEKNUM(InputData[[#This Row],[DATE]])</f>
        <v>38</v>
      </c>
    </row>
    <row r="607" spans="1:10" x14ac:dyDescent="0.25">
      <c r="A607" s="3">
        <v>44456</v>
      </c>
      <c r="B607" s="6" t="s">
        <v>70</v>
      </c>
      <c r="C607" s="4" t="s">
        <v>10</v>
      </c>
      <c r="D607" s="5">
        <v>164.28</v>
      </c>
      <c r="E607" s="1">
        <v>12</v>
      </c>
      <c r="F607" s="1">
        <f>InputData[[#This Row],[UNIT PRICE ($)]]*InputData[[#This Row],[QUANTITY]]</f>
        <v>1971.3600000000001</v>
      </c>
      <c r="G607" s="1" t="str">
        <f>VLOOKUP(InputData[[#This Row],[CUSTOMER NAME]],Country[#All],2,0)</f>
        <v>Mexico</v>
      </c>
      <c r="H607" s="1" t="str">
        <f>VLOOKUP(InputData[[#This Row],[CUSTOMER NAME]],Country[#All],3,0)</f>
        <v>Export</v>
      </c>
      <c r="I607" s="1" t="str">
        <f>TEXT(InputData[[#This Row],[DATE]],"MMM")</f>
        <v>Sep</v>
      </c>
      <c r="J607" s="1">
        <f>WEEKNUM(InputData[[#This Row],[DATE]])</f>
        <v>38</v>
      </c>
    </row>
    <row r="608" spans="1:10" x14ac:dyDescent="0.25">
      <c r="A608" s="3">
        <v>44457</v>
      </c>
      <c r="B608" s="6" t="s">
        <v>68</v>
      </c>
      <c r="C608" s="4" t="s">
        <v>31</v>
      </c>
      <c r="D608" s="5">
        <v>104.16</v>
      </c>
      <c r="E608" s="1">
        <v>22</v>
      </c>
      <c r="F608" s="1">
        <f>InputData[[#This Row],[UNIT PRICE ($)]]*InputData[[#This Row],[QUANTITY]]</f>
        <v>2291.52</v>
      </c>
      <c r="G608" s="1" t="str">
        <f>VLOOKUP(InputData[[#This Row],[CUSTOMER NAME]],Country[#All],2,0)</f>
        <v>Russia</v>
      </c>
      <c r="H608" s="1" t="str">
        <f>VLOOKUP(InputData[[#This Row],[CUSTOMER NAME]],Country[#All],3,0)</f>
        <v>Export</v>
      </c>
      <c r="I608" s="1" t="str">
        <f>TEXT(InputData[[#This Row],[DATE]],"MMM")</f>
        <v>Sep</v>
      </c>
      <c r="J608" s="1">
        <f>WEEKNUM(InputData[[#This Row],[DATE]])</f>
        <v>38</v>
      </c>
    </row>
    <row r="609" spans="1:10" x14ac:dyDescent="0.25">
      <c r="A609" s="3">
        <v>44457</v>
      </c>
      <c r="B609" s="6" t="s">
        <v>81</v>
      </c>
      <c r="C609" s="4" t="s">
        <v>26</v>
      </c>
      <c r="D609" s="5">
        <v>24.66</v>
      </c>
      <c r="E609" s="1">
        <v>14</v>
      </c>
      <c r="F609" s="1">
        <f>InputData[[#This Row],[UNIT PRICE ($)]]*InputData[[#This Row],[QUANTITY]]</f>
        <v>345.24</v>
      </c>
      <c r="G609" s="1" t="str">
        <f>VLOOKUP(InputData[[#This Row],[CUSTOMER NAME]],Country[#All],2,0)</f>
        <v>India</v>
      </c>
      <c r="H609" s="1" t="str">
        <f>VLOOKUP(InputData[[#This Row],[CUSTOMER NAME]],Country[#All],3,0)</f>
        <v>East</v>
      </c>
      <c r="I609" s="1" t="str">
        <f>TEXT(InputData[[#This Row],[DATE]],"MMM")</f>
        <v>Sep</v>
      </c>
      <c r="J609" s="1">
        <f>WEEKNUM(InputData[[#This Row],[DATE]])</f>
        <v>38</v>
      </c>
    </row>
    <row r="610" spans="1:10" x14ac:dyDescent="0.25">
      <c r="A610" s="3">
        <v>44458</v>
      </c>
      <c r="B610" s="6" t="s">
        <v>75</v>
      </c>
      <c r="C610" s="4" t="s">
        <v>33</v>
      </c>
      <c r="D610" s="5">
        <v>119.7</v>
      </c>
      <c r="E610" s="1">
        <v>8</v>
      </c>
      <c r="F610" s="1">
        <f>InputData[[#This Row],[UNIT PRICE ($)]]*InputData[[#This Row],[QUANTITY]]</f>
        <v>957.6</v>
      </c>
      <c r="G610" s="1" t="str">
        <f>VLOOKUP(InputData[[#This Row],[CUSTOMER NAME]],Country[#All],2,0)</f>
        <v>Russia</v>
      </c>
      <c r="H610" s="1" t="str">
        <f>VLOOKUP(InputData[[#This Row],[CUSTOMER NAME]],Country[#All],3,0)</f>
        <v>Export</v>
      </c>
      <c r="I610" s="1" t="str">
        <f>TEXT(InputData[[#This Row],[DATE]],"MMM")</f>
        <v>Sep</v>
      </c>
      <c r="J610" s="1">
        <f>WEEKNUM(InputData[[#This Row],[DATE]])</f>
        <v>39</v>
      </c>
    </row>
    <row r="611" spans="1:10" x14ac:dyDescent="0.25">
      <c r="A611" s="3">
        <v>44459</v>
      </c>
      <c r="B611" s="6" t="s">
        <v>61</v>
      </c>
      <c r="C611" s="4" t="s">
        <v>33</v>
      </c>
      <c r="D611" s="5">
        <v>119.7</v>
      </c>
      <c r="E611" s="1">
        <v>6</v>
      </c>
      <c r="F611" s="1">
        <f>InputData[[#This Row],[UNIT PRICE ($)]]*InputData[[#This Row],[QUANTITY]]</f>
        <v>718.2</v>
      </c>
      <c r="G611" s="1" t="str">
        <f>VLOOKUP(InputData[[#This Row],[CUSTOMER NAME]],Country[#All],2,0)</f>
        <v>Bangladesh</v>
      </c>
      <c r="H611" s="1" t="str">
        <f>VLOOKUP(InputData[[#This Row],[CUSTOMER NAME]],Country[#All],3,0)</f>
        <v>Export</v>
      </c>
      <c r="I611" s="1" t="str">
        <f>TEXT(InputData[[#This Row],[DATE]],"MMM")</f>
        <v>Sep</v>
      </c>
      <c r="J611" s="1">
        <f>WEEKNUM(InputData[[#This Row],[DATE]])</f>
        <v>39</v>
      </c>
    </row>
    <row r="612" spans="1:10" x14ac:dyDescent="0.25">
      <c r="A612" s="3">
        <v>44459</v>
      </c>
      <c r="B612" s="6" t="s">
        <v>71</v>
      </c>
      <c r="C612" s="4" t="s">
        <v>35</v>
      </c>
      <c r="D612" s="5">
        <v>6.7</v>
      </c>
      <c r="E612" s="1">
        <v>32</v>
      </c>
      <c r="F612" s="1">
        <f>InputData[[#This Row],[UNIT PRICE ($)]]*InputData[[#This Row],[QUANTITY]]</f>
        <v>214.4</v>
      </c>
      <c r="G612" s="1" t="str">
        <f>VLOOKUP(InputData[[#This Row],[CUSTOMER NAME]],Country[#All],2,0)</f>
        <v>India</v>
      </c>
      <c r="H612" s="1" t="str">
        <f>VLOOKUP(InputData[[#This Row],[CUSTOMER NAME]],Country[#All],3,0)</f>
        <v>Central</v>
      </c>
      <c r="I612" s="1" t="str">
        <f>TEXT(InputData[[#This Row],[DATE]],"MMM")</f>
        <v>Sep</v>
      </c>
      <c r="J612" s="1">
        <f>WEEKNUM(InputData[[#This Row],[DATE]])</f>
        <v>39</v>
      </c>
    </row>
    <row r="613" spans="1:10" x14ac:dyDescent="0.25">
      <c r="A613" s="3">
        <v>44459</v>
      </c>
      <c r="B613" s="6" t="s">
        <v>85</v>
      </c>
      <c r="C613" s="4" t="s">
        <v>1</v>
      </c>
      <c r="D613" s="5">
        <v>103.88</v>
      </c>
      <c r="E613" s="1">
        <v>10</v>
      </c>
      <c r="F613" s="1">
        <f>InputData[[#This Row],[UNIT PRICE ($)]]*InputData[[#This Row],[QUANTITY]]</f>
        <v>1038.8</v>
      </c>
      <c r="G613" s="1" t="str">
        <f>VLOOKUP(InputData[[#This Row],[CUSTOMER NAME]],Country[#All],2,0)</f>
        <v>India</v>
      </c>
      <c r="H613" s="1" t="str">
        <f>VLOOKUP(InputData[[#This Row],[CUSTOMER NAME]],Country[#All],3,0)</f>
        <v>Northeast</v>
      </c>
      <c r="I613" s="1" t="str">
        <f>TEXT(InputData[[#This Row],[DATE]],"MMM")</f>
        <v>Sep</v>
      </c>
      <c r="J613" s="1">
        <f>WEEKNUM(InputData[[#This Row],[DATE]])</f>
        <v>39</v>
      </c>
    </row>
    <row r="614" spans="1:10" x14ac:dyDescent="0.25">
      <c r="A614" s="3">
        <v>44460</v>
      </c>
      <c r="B614" s="6" t="s">
        <v>68</v>
      </c>
      <c r="C614" s="4" t="s">
        <v>36</v>
      </c>
      <c r="D614" s="5">
        <v>96.3</v>
      </c>
      <c r="E614" s="1">
        <v>35</v>
      </c>
      <c r="F614" s="1">
        <f>InputData[[#This Row],[UNIT PRICE ($)]]*InputData[[#This Row],[QUANTITY]]</f>
        <v>3370.5</v>
      </c>
      <c r="G614" s="1" t="str">
        <f>VLOOKUP(InputData[[#This Row],[CUSTOMER NAME]],Country[#All],2,0)</f>
        <v>Russia</v>
      </c>
      <c r="H614" s="1" t="str">
        <f>VLOOKUP(InputData[[#This Row],[CUSTOMER NAME]],Country[#All],3,0)</f>
        <v>Export</v>
      </c>
      <c r="I614" s="1" t="str">
        <f>TEXT(InputData[[#This Row],[DATE]],"MMM")</f>
        <v>Sep</v>
      </c>
      <c r="J614" s="1">
        <f>WEEKNUM(InputData[[#This Row],[DATE]])</f>
        <v>39</v>
      </c>
    </row>
    <row r="615" spans="1:10" x14ac:dyDescent="0.25">
      <c r="A615" s="3">
        <v>44460</v>
      </c>
      <c r="B615" s="6" t="s">
        <v>73</v>
      </c>
      <c r="C615" s="4" t="s">
        <v>2</v>
      </c>
      <c r="D615" s="5">
        <v>142.80000000000001</v>
      </c>
      <c r="E615" s="1">
        <v>32</v>
      </c>
      <c r="F615" s="1">
        <f>InputData[[#This Row],[UNIT PRICE ($)]]*InputData[[#This Row],[QUANTITY]]</f>
        <v>4569.6000000000004</v>
      </c>
      <c r="G615" s="1" t="str">
        <f>VLOOKUP(InputData[[#This Row],[CUSTOMER NAME]],Country[#All],2,0)</f>
        <v>India</v>
      </c>
      <c r="H615" s="1" t="str">
        <f>VLOOKUP(InputData[[#This Row],[CUSTOMER NAME]],Country[#All],3,0)</f>
        <v>East</v>
      </c>
      <c r="I615" s="1" t="str">
        <f>TEXT(InputData[[#This Row],[DATE]],"MMM")</f>
        <v>Sep</v>
      </c>
      <c r="J615" s="1">
        <f>WEEKNUM(InputData[[#This Row],[DATE]])</f>
        <v>39</v>
      </c>
    </row>
    <row r="616" spans="1:10" x14ac:dyDescent="0.25">
      <c r="A616" s="3">
        <v>44460</v>
      </c>
      <c r="B616" s="6" t="s">
        <v>78</v>
      </c>
      <c r="C616" s="4" t="s">
        <v>20</v>
      </c>
      <c r="D616" s="5">
        <v>76.25</v>
      </c>
      <c r="E616" s="1">
        <v>7</v>
      </c>
      <c r="F616" s="1">
        <f>InputData[[#This Row],[UNIT PRICE ($)]]*InputData[[#This Row],[QUANTITY]]</f>
        <v>533.75</v>
      </c>
      <c r="G616" s="1" t="str">
        <f>VLOOKUP(InputData[[#This Row],[CUSTOMER NAME]],Country[#All],2,0)</f>
        <v>India</v>
      </c>
      <c r="H616" s="1" t="str">
        <f>VLOOKUP(InputData[[#This Row],[CUSTOMER NAME]],Country[#All],3,0)</f>
        <v>Central</v>
      </c>
      <c r="I616" s="1" t="str">
        <f>TEXT(InputData[[#This Row],[DATE]],"MMM")</f>
        <v>Sep</v>
      </c>
      <c r="J616" s="1">
        <f>WEEKNUM(InputData[[#This Row],[DATE]])</f>
        <v>39</v>
      </c>
    </row>
    <row r="617" spans="1:10" x14ac:dyDescent="0.25">
      <c r="A617" s="3">
        <v>44460</v>
      </c>
      <c r="B617" s="6" t="s">
        <v>80</v>
      </c>
      <c r="C617" s="4" t="s">
        <v>26</v>
      </c>
      <c r="D617" s="5">
        <v>24.66</v>
      </c>
      <c r="E617" s="1">
        <v>5</v>
      </c>
      <c r="F617" s="1">
        <f>InputData[[#This Row],[UNIT PRICE ($)]]*InputData[[#This Row],[QUANTITY]]</f>
        <v>123.3</v>
      </c>
      <c r="G617" s="1" t="str">
        <f>VLOOKUP(InputData[[#This Row],[CUSTOMER NAME]],Country[#All],2,0)</f>
        <v>South Africa</v>
      </c>
      <c r="H617" s="1" t="str">
        <f>VLOOKUP(InputData[[#This Row],[CUSTOMER NAME]],Country[#All],3,0)</f>
        <v>Export</v>
      </c>
      <c r="I617" s="1" t="str">
        <f>TEXT(InputData[[#This Row],[DATE]],"MMM")</f>
        <v>Sep</v>
      </c>
      <c r="J617" s="1">
        <f>WEEKNUM(InputData[[#This Row],[DATE]])</f>
        <v>39</v>
      </c>
    </row>
    <row r="618" spans="1:10" x14ac:dyDescent="0.25">
      <c r="A618" s="3">
        <v>44460</v>
      </c>
      <c r="B618" s="6" t="s">
        <v>88</v>
      </c>
      <c r="C618" s="4" t="s">
        <v>18</v>
      </c>
      <c r="D618" s="5">
        <v>49.21</v>
      </c>
      <c r="E618" s="1">
        <v>14</v>
      </c>
      <c r="F618" s="1">
        <f>InputData[[#This Row],[UNIT PRICE ($)]]*InputData[[#This Row],[QUANTITY]]</f>
        <v>688.94</v>
      </c>
      <c r="G618" s="1" t="str">
        <f>VLOOKUP(InputData[[#This Row],[CUSTOMER NAME]],Country[#All],2,0)</f>
        <v>India</v>
      </c>
      <c r="H618" s="1" t="str">
        <f>VLOOKUP(InputData[[#This Row],[CUSTOMER NAME]],Country[#All],3,0)</f>
        <v>South</v>
      </c>
      <c r="I618" s="1" t="str">
        <f>TEXT(InputData[[#This Row],[DATE]],"MMM")</f>
        <v>Sep</v>
      </c>
      <c r="J618" s="1">
        <f>WEEKNUM(InputData[[#This Row],[DATE]])</f>
        <v>39</v>
      </c>
    </row>
    <row r="619" spans="1:10" x14ac:dyDescent="0.25">
      <c r="A619" s="3">
        <v>44461</v>
      </c>
      <c r="B619" s="6" t="s">
        <v>64</v>
      </c>
      <c r="C619" s="4" t="s">
        <v>21</v>
      </c>
      <c r="D619" s="5">
        <v>162.54</v>
      </c>
      <c r="E619" s="1">
        <v>21</v>
      </c>
      <c r="F619" s="1">
        <f>InputData[[#This Row],[UNIT PRICE ($)]]*InputData[[#This Row],[QUANTITY]]</f>
        <v>3413.3399999999997</v>
      </c>
      <c r="G619" s="1" t="str">
        <f>VLOOKUP(InputData[[#This Row],[CUSTOMER NAME]],Country[#All],2,0)</f>
        <v>India</v>
      </c>
      <c r="H619" s="1" t="str">
        <f>VLOOKUP(InputData[[#This Row],[CUSTOMER NAME]],Country[#All],3,0)</f>
        <v>Northeast</v>
      </c>
      <c r="I619" s="1" t="str">
        <f>TEXT(InputData[[#This Row],[DATE]],"MMM")</f>
        <v>Sep</v>
      </c>
      <c r="J619" s="1">
        <f>WEEKNUM(InputData[[#This Row],[DATE]])</f>
        <v>39</v>
      </c>
    </row>
    <row r="620" spans="1:10" x14ac:dyDescent="0.25">
      <c r="A620" s="3">
        <v>44461</v>
      </c>
      <c r="B620" s="6" t="s">
        <v>79</v>
      </c>
      <c r="C620" s="4" t="s">
        <v>4</v>
      </c>
      <c r="D620" s="5">
        <v>48.84</v>
      </c>
      <c r="E620" s="1">
        <v>14</v>
      </c>
      <c r="F620" s="1">
        <f>InputData[[#This Row],[UNIT PRICE ($)]]*InputData[[#This Row],[QUANTITY]]</f>
        <v>683.76</v>
      </c>
      <c r="G620" s="1" t="str">
        <f>VLOOKUP(InputData[[#This Row],[CUSTOMER NAME]],Country[#All],2,0)</f>
        <v>United Kingdom</v>
      </c>
      <c r="H620" s="1" t="str">
        <f>VLOOKUP(InputData[[#This Row],[CUSTOMER NAME]],Country[#All],3,0)</f>
        <v>Export</v>
      </c>
      <c r="I620" s="1" t="str">
        <f>TEXT(InputData[[#This Row],[DATE]],"MMM")</f>
        <v>Sep</v>
      </c>
      <c r="J620" s="1">
        <f>WEEKNUM(InputData[[#This Row],[DATE]])</f>
        <v>39</v>
      </c>
    </row>
    <row r="621" spans="1:10" x14ac:dyDescent="0.25">
      <c r="A621" s="3">
        <v>44461</v>
      </c>
      <c r="B621" s="6" t="s">
        <v>114</v>
      </c>
      <c r="C621" s="4" t="s">
        <v>2</v>
      </c>
      <c r="D621" s="5">
        <v>142.80000000000001</v>
      </c>
      <c r="E621" s="1">
        <v>4</v>
      </c>
      <c r="F621" s="1">
        <f>InputData[[#This Row],[UNIT PRICE ($)]]*InputData[[#This Row],[QUANTITY]]</f>
        <v>571.20000000000005</v>
      </c>
      <c r="G621" s="1" t="str">
        <f>VLOOKUP(InputData[[#This Row],[CUSTOMER NAME]],Country[#All],2,0)</f>
        <v>United States of America</v>
      </c>
      <c r="H621" s="1" t="str">
        <f>VLOOKUP(InputData[[#This Row],[CUSTOMER NAME]],Country[#All],3,0)</f>
        <v>Export</v>
      </c>
      <c r="I621" s="1" t="str">
        <f>TEXT(InputData[[#This Row],[DATE]],"MMM")</f>
        <v>Sep</v>
      </c>
      <c r="J621" s="1">
        <f>WEEKNUM(InputData[[#This Row],[DATE]])</f>
        <v>39</v>
      </c>
    </row>
    <row r="622" spans="1:10" x14ac:dyDescent="0.25">
      <c r="A622" s="3">
        <v>44461</v>
      </c>
      <c r="B622" s="6" t="s">
        <v>117</v>
      </c>
      <c r="C622" s="4" t="s">
        <v>40</v>
      </c>
      <c r="D622" s="5">
        <v>115.2</v>
      </c>
      <c r="E622" s="1">
        <v>2</v>
      </c>
      <c r="F622" s="1">
        <f>InputData[[#This Row],[UNIT PRICE ($)]]*InputData[[#This Row],[QUANTITY]]</f>
        <v>230.4</v>
      </c>
      <c r="G622" s="1" t="str">
        <f>VLOOKUP(InputData[[#This Row],[CUSTOMER NAME]],Country[#All],2,0)</f>
        <v>United States of America</v>
      </c>
      <c r="H622" s="1" t="str">
        <f>VLOOKUP(InputData[[#This Row],[CUSTOMER NAME]],Country[#All],3,0)</f>
        <v>Export</v>
      </c>
      <c r="I622" s="1" t="str">
        <f>TEXT(InputData[[#This Row],[DATE]],"MMM")</f>
        <v>Sep</v>
      </c>
      <c r="J622" s="1">
        <f>WEEKNUM(InputData[[#This Row],[DATE]])</f>
        <v>39</v>
      </c>
    </row>
    <row r="623" spans="1:10" x14ac:dyDescent="0.25">
      <c r="A623" s="3">
        <v>44461</v>
      </c>
      <c r="B623" s="6" t="s">
        <v>117</v>
      </c>
      <c r="C623" s="4" t="s">
        <v>43</v>
      </c>
      <c r="D623" s="5">
        <v>83.08</v>
      </c>
      <c r="E623" s="1">
        <v>12</v>
      </c>
      <c r="F623" s="1">
        <f>InputData[[#This Row],[UNIT PRICE ($)]]*InputData[[#This Row],[QUANTITY]]</f>
        <v>996.96</v>
      </c>
      <c r="G623" s="1" t="str">
        <f>VLOOKUP(InputData[[#This Row],[CUSTOMER NAME]],Country[#All],2,0)</f>
        <v>United States of America</v>
      </c>
      <c r="H623" s="1" t="str">
        <f>VLOOKUP(InputData[[#This Row],[CUSTOMER NAME]],Country[#All],3,0)</f>
        <v>Export</v>
      </c>
      <c r="I623" s="1" t="str">
        <f>TEXT(InputData[[#This Row],[DATE]],"MMM")</f>
        <v>Sep</v>
      </c>
      <c r="J623" s="1">
        <f>WEEKNUM(InputData[[#This Row],[DATE]])</f>
        <v>39</v>
      </c>
    </row>
    <row r="624" spans="1:10" x14ac:dyDescent="0.25">
      <c r="A624" s="3">
        <v>44462</v>
      </c>
      <c r="B624" s="6" t="s">
        <v>71</v>
      </c>
      <c r="C624" s="4" t="s">
        <v>12</v>
      </c>
      <c r="D624" s="5">
        <v>94.17</v>
      </c>
      <c r="E624" s="1">
        <v>12</v>
      </c>
      <c r="F624" s="1">
        <f>InputData[[#This Row],[UNIT PRICE ($)]]*InputData[[#This Row],[QUANTITY]]</f>
        <v>1130.04</v>
      </c>
      <c r="G624" s="1" t="str">
        <f>VLOOKUP(InputData[[#This Row],[CUSTOMER NAME]],Country[#All],2,0)</f>
        <v>India</v>
      </c>
      <c r="H624" s="1" t="str">
        <f>VLOOKUP(InputData[[#This Row],[CUSTOMER NAME]],Country[#All],3,0)</f>
        <v>Central</v>
      </c>
      <c r="I624" s="1" t="str">
        <f>TEXT(InputData[[#This Row],[DATE]],"MMM")</f>
        <v>Sep</v>
      </c>
      <c r="J624" s="1">
        <f>WEEKNUM(InputData[[#This Row],[DATE]])</f>
        <v>39</v>
      </c>
    </row>
    <row r="625" spans="1:10" x14ac:dyDescent="0.25">
      <c r="A625" s="3">
        <v>44462</v>
      </c>
      <c r="B625" s="6" t="s">
        <v>82</v>
      </c>
      <c r="C625" s="4" t="s">
        <v>21</v>
      </c>
      <c r="D625" s="5">
        <v>162.54</v>
      </c>
      <c r="E625" s="1">
        <v>7</v>
      </c>
      <c r="F625" s="1">
        <f>InputData[[#This Row],[UNIT PRICE ($)]]*InputData[[#This Row],[QUANTITY]]</f>
        <v>1137.78</v>
      </c>
      <c r="G625" s="1" t="str">
        <f>VLOOKUP(InputData[[#This Row],[CUSTOMER NAME]],Country[#All],2,0)</f>
        <v>India</v>
      </c>
      <c r="H625" s="1" t="str">
        <f>VLOOKUP(InputData[[#This Row],[CUSTOMER NAME]],Country[#All],3,0)</f>
        <v>Western</v>
      </c>
      <c r="I625" s="1" t="str">
        <f>TEXT(InputData[[#This Row],[DATE]],"MMM")</f>
        <v>Sep</v>
      </c>
      <c r="J625" s="1">
        <f>WEEKNUM(InputData[[#This Row],[DATE]])</f>
        <v>39</v>
      </c>
    </row>
    <row r="626" spans="1:10" x14ac:dyDescent="0.25">
      <c r="A626" s="3">
        <v>44462</v>
      </c>
      <c r="B626" s="6" t="s">
        <v>85</v>
      </c>
      <c r="C626" s="4" t="s">
        <v>18</v>
      </c>
      <c r="D626" s="5">
        <v>49.21</v>
      </c>
      <c r="E626" s="1">
        <v>12</v>
      </c>
      <c r="F626" s="1">
        <f>InputData[[#This Row],[UNIT PRICE ($)]]*InputData[[#This Row],[QUANTITY]]</f>
        <v>590.52</v>
      </c>
      <c r="G626" s="1" t="str">
        <f>VLOOKUP(InputData[[#This Row],[CUSTOMER NAME]],Country[#All],2,0)</f>
        <v>India</v>
      </c>
      <c r="H626" s="1" t="str">
        <f>VLOOKUP(InputData[[#This Row],[CUSTOMER NAME]],Country[#All],3,0)</f>
        <v>Northeast</v>
      </c>
      <c r="I626" s="1" t="str">
        <f>TEXT(InputData[[#This Row],[DATE]],"MMM")</f>
        <v>Sep</v>
      </c>
      <c r="J626" s="1">
        <f>WEEKNUM(InputData[[#This Row],[DATE]])</f>
        <v>39</v>
      </c>
    </row>
    <row r="627" spans="1:10" x14ac:dyDescent="0.25">
      <c r="A627" s="3">
        <v>44463</v>
      </c>
      <c r="B627" s="6" t="s">
        <v>65</v>
      </c>
      <c r="C627" s="4" t="s">
        <v>32</v>
      </c>
      <c r="D627" s="5">
        <v>117.48</v>
      </c>
      <c r="E627" s="1">
        <v>34</v>
      </c>
      <c r="F627" s="1">
        <f>InputData[[#This Row],[UNIT PRICE ($)]]*InputData[[#This Row],[QUANTITY]]</f>
        <v>3994.32</v>
      </c>
      <c r="G627" s="1" t="str">
        <f>VLOOKUP(InputData[[#This Row],[CUSTOMER NAME]],Country[#All],2,0)</f>
        <v>Pakistan</v>
      </c>
      <c r="H627" s="1" t="str">
        <f>VLOOKUP(InputData[[#This Row],[CUSTOMER NAME]],Country[#All],3,0)</f>
        <v>Export</v>
      </c>
      <c r="I627" s="1" t="str">
        <f>TEXT(InputData[[#This Row],[DATE]],"MMM")</f>
        <v>Sep</v>
      </c>
      <c r="J627" s="1">
        <f>WEEKNUM(InputData[[#This Row],[DATE]])</f>
        <v>39</v>
      </c>
    </row>
    <row r="628" spans="1:10" x14ac:dyDescent="0.25">
      <c r="A628" s="3">
        <v>44463</v>
      </c>
      <c r="B628" s="6" t="s">
        <v>69</v>
      </c>
      <c r="C628" s="4" t="s">
        <v>32</v>
      </c>
      <c r="D628" s="5">
        <v>117.48</v>
      </c>
      <c r="E628" s="1">
        <v>8</v>
      </c>
      <c r="F628" s="1">
        <f>InputData[[#This Row],[UNIT PRICE ($)]]*InputData[[#This Row],[QUANTITY]]</f>
        <v>939.84</v>
      </c>
      <c r="G628" s="1" t="str">
        <f>VLOOKUP(InputData[[#This Row],[CUSTOMER NAME]],Country[#All],2,0)</f>
        <v>India</v>
      </c>
      <c r="H628" s="1" t="str">
        <f>VLOOKUP(InputData[[#This Row],[CUSTOMER NAME]],Country[#All],3,0)</f>
        <v>South</v>
      </c>
      <c r="I628" s="1" t="str">
        <f>TEXT(InputData[[#This Row],[DATE]],"MMM")</f>
        <v>Sep</v>
      </c>
      <c r="J628" s="1">
        <f>WEEKNUM(InputData[[#This Row],[DATE]])</f>
        <v>39</v>
      </c>
    </row>
    <row r="629" spans="1:10" x14ac:dyDescent="0.25">
      <c r="A629" s="3">
        <v>44463</v>
      </c>
      <c r="B629" s="6" t="s">
        <v>73</v>
      </c>
      <c r="C629" s="4" t="s">
        <v>32</v>
      </c>
      <c r="D629" s="5">
        <v>117.48</v>
      </c>
      <c r="E629" s="1">
        <v>14</v>
      </c>
      <c r="F629" s="1">
        <f>InputData[[#This Row],[UNIT PRICE ($)]]*InputData[[#This Row],[QUANTITY]]</f>
        <v>1644.72</v>
      </c>
      <c r="G629" s="1" t="str">
        <f>VLOOKUP(InputData[[#This Row],[CUSTOMER NAME]],Country[#All],2,0)</f>
        <v>India</v>
      </c>
      <c r="H629" s="1" t="str">
        <f>VLOOKUP(InputData[[#This Row],[CUSTOMER NAME]],Country[#All],3,0)</f>
        <v>East</v>
      </c>
      <c r="I629" s="1" t="str">
        <f>TEXT(InputData[[#This Row],[DATE]],"MMM")</f>
        <v>Sep</v>
      </c>
      <c r="J629" s="1">
        <f>WEEKNUM(InputData[[#This Row],[DATE]])</f>
        <v>39</v>
      </c>
    </row>
    <row r="630" spans="1:10" x14ac:dyDescent="0.25">
      <c r="A630" s="3">
        <v>44464</v>
      </c>
      <c r="B630" s="6" t="s">
        <v>71</v>
      </c>
      <c r="C630" s="4" t="s">
        <v>3</v>
      </c>
      <c r="D630" s="5">
        <v>80.94</v>
      </c>
      <c r="E630" s="1">
        <v>31</v>
      </c>
      <c r="F630" s="1">
        <f>InputData[[#This Row],[UNIT PRICE ($)]]*InputData[[#This Row],[QUANTITY]]</f>
        <v>2509.14</v>
      </c>
      <c r="G630" s="1" t="str">
        <f>VLOOKUP(InputData[[#This Row],[CUSTOMER NAME]],Country[#All],2,0)</f>
        <v>India</v>
      </c>
      <c r="H630" s="1" t="str">
        <f>VLOOKUP(InputData[[#This Row],[CUSTOMER NAME]],Country[#All],3,0)</f>
        <v>Central</v>
      </c>
      <c r="I630" s="1" t="str">
        <f>TEXT(InputData[[#This Row],[DATE]],"MMM")</f>
        <v>Sep</v>
      </c>
      <c r="J630" s="1">
        <f>WEEKNUM(InputData[[#This Row],[DATE]])</f>
        <v>39</v>
      </c>
    </row>
    <row r="631" spans="1:10" x14ac:dyDescent="0.25">
      <c r="A631" s="3">
        <v>44466</v>
      </c>
      <c r="B631" s="6" t="s">
        <v>63</v>
      </c>
      <c r="C631" s="4" t="s">
        <v>34</v>
      </c>
      <c r="D631" s="5">
        <v>58.3</v>
      </c>
      <c r="E631" s="1">
        <v>1</v>
      </c>
      <c r="F631" s="1">
        <f>InputData[[#This Row],[UNIT PRICE ($)]]*InputData[[#This Row],[QUANTITY]]</f>
        <v>58.3</v>
      </c>
      <c r="G631" s="1" t="str">
        <f>VLOOKUP(InputData[[#This Row],[CUSTOMER NAME]],Country[#All],2,0)</f>
        <v>Saudi Arabia</v>
      </c>
      <c r="H631" s="1" t="str">
        <f>VLOOKUP(InputData[[#This Row],[CUSTOMER NAME]],Country[#All],3,0)</f>
        <v>Export</v>
      </c>
      <c r="I631" s="1" t="str">
        <f>TEXT(InputData[[#This Row],[DATE]],"MMM")</f>
        <v>Sep</v>
      </c>
      <c r="J631" s="1">
        <f>WEEKNUM(InputData[[#This Row],[DATE]])</f>
        <v>40</v>
      </c>
    </row>
    <row r="632" spans="1:10" x14ac:dyDescent="0.25">
      <c r="A632" s="3">
        <v>44466</v>
      </c>
      <c r="B632" s="6" t="s">
        <v>64</v>
      </c>
      <c r="C632" s="4" t="s">
        <v>5</v>
      </c>
      <c r="D632" s="5">
        <v>155.61000000000001</v>
      </c>
      <c r="E632" s="1">
        <v>11</v>
      </c>
      <c r="F632" s="1">
        <f>InputData[[#This Row],[UNIT PRICE ($)]]*InputData[[#This Row],[QUANTITY]]</f>
        <v>1711.71</v>
      </c>
      <c r="G632" s="1" t="str">
        <f>VLOOKUP(InputData[[#This Row],[CUSTOMER NAME]],Country[#All],2,0)</f>
        <v>India</v>
      </c>
      <c r="H632" s="1" t="str">
        <f>VLOOKUP(InputData[[#This Row],[CUSTOMER NAME]],Country[#All],3,0)</f>
        <v>Northeast</v>
      </c>
      <c r="I632" s="1" t="str">
        <f>TEXT(InputData[[#This Row],[DATE]],"MMM")</f>
        <v>Sep</v>
      </c>
      <c r="J632" s="1">
        <f>WEEKNUM(InputData[[#This Row],[DATE]])</f>
        <v>40</v>
      </c>
    </row>
    <row r="633" spans="1:10" x14ac:dyDescent="0.25">
      <c r="A633" s="3">
        <v>44466</v>
      </c>
      <c r="B633" s="6" t="s">
        <v>76</v>
      </c>
      <c r="C633" s="4" t="s">
        <v>36</v>
      </c>
      <c r="D633" s="5">
        <v>96.3</v>
      </c>
      <c r="E633" s="1">
        <v>4</v>
      </c>
      <c r="F633" s="1">
        <f>InputData[[#This Row],[UNIT PRICE ($)]]*InputData[[#This Row],[QUANTITY]]</f>
        <v>385.2</v>
      </c>
      <c r="G633" s="1" t="str">
        <f>VLOOKUP(InputData[[#This Row],[CUSTOMER NAME]],Country[#All],2,0)</f>
        <v>Saudi Arabia</v>
      </c>
      <c r="H633" s="1" t="str">
        <f>VLOOKUP(InputData[[#This Row],[CUSTOMER NAME]],Country[#All],3,0)</f>
        <v>Export</v>
      </c>
      <c r="I633" s="1" t="str">
        <f>TEXT(InputData[[#This Row],[DATE]],"MMM")</f>
        <v>Sep</v>
      </c>
      <c r="J633" s="1">
        <f>WEEKNUM(InputData[[#This Row],[DATE]])</f>
        <v>40</v>
      </c>
    </row>
    <row r="634" spans="1:10" x14ac:dyDescent="0.25">
      <c r="A634" s="3">
        <v>44466</v>
      </c>
      <c r="B634" s="6" t="s">
        <v>77</v>
      </c>
      <c r="C634" s="4" t="s">
        <v>38</v>
      </c>
      <c r="D634" s="5">
        <v>79.92</v>
      </c>
      <c r="E634" s="1">
        <v>3</v>
      </c>
      <c r="F634" s="1">
        <f>InputData[[#This Row],[UNIT PRICE ($)]]*InputData[[#This Row],[QUANTITY]]</f>
        <v>239.76</v>
      </c>
      <c r="G634" s="1" t="str">
        <f>VLOOKUP(InputData[[#This Row],[CUSTOMER NAME]],Country[#All],2,0)</f>
        <v>India</v>
      </c>
      <c r="H634" s="1" t="str">
        <f>VLOOKUP(InputData[[#This Row],[CUSTOMER NAME]],Country[#All],3,0)</f>
        <v>Western</v>
      </c>
      <c r="I634" s="1" t="str">
        <f>TEXT(InputData[[#This Row],[DATE]],"MMM")</f>
        <v>Sep</v>
      </c>
      <c r="J634" s="1">
        <f>WEEKNUM(InputData[[#This Row],[DATE]])</f>
        <v>40</v>
      </c>
    </row>
    <row r="635" spans="1:10" x14ac:dyDescent="0.25">
      <c r="A635" s="3">
        <v>44466</v>
      </c>
      <c r="B635" s="6" t="s">
        <v>82</v>
      </c>
      <c r="C635" s="4" t="s">
        <v>41</v>
      </c>
      <c r="D635" s="5">
        <v>173.88</v>
      </c>
      <c r="E635" s="1">
        <v>23</v>
      </c>
      <c r="F635" s="1">
        <f>InputData[[#This Row],[UNIT PRICE ($)]]*InputData[[#This Row],[QUANTITY]]</f>
        <v>3999.24</v>
      </c>
      <c r="G635" s="1" t="str">
        <f>VLOOKUP(InputData[[#This Row],[CUSTOMER NAME]],Country[#All],2,0)</f>
        <v>India</v>
      </c>
      <c r="H635" s="1" t="str">
        <f>VLOOKUP(InputData[[#This Row],[CUSTOMER NAME]],Country[#All],3,0)</f>
        <v>Western</v>
      </c>
      <c r="I635" s="1" t="str">
        <f>TEXT(InputData[[#This Row],[DATE]],"MMM")</f>
        <v>Sep</v>
      </c>
      <c r="J635" s="1">
        <f>WEEKNUM(InputData[[#This Row],[DATE]])</f>
        <v>40</v>
      </c>
    </row>
    <row r="636" spans="1:10" x14ac:dyDescent="0.25">
      <c r="A636" s="3">
        <v>44466</v>
      </c>
      <c r="B636" s="6" t="s">
        <v>117</v>
      </c>
      <c r="C636" s="4" t="s">
        <v>44</v>
      </c>
      <c r="D636" s="5">
        <v>82.08</v>
      </c>
      <c r="E636" s="1">
        <v>9</v>
      </c>
      <c r="F636" s="1">
        <f>InputData[[#This Row],[UNIT PRICE ($)]]*InputData[[#This Row],[QUANTITY]]</f>
        <v>738.72</v>
      </c>
      <c r="G636" s="1" t="str">
        <f>VLOOKUP(InputData[[#This Row],[CUSTOMER NAME]],Country[#All],2,0)</f>
        <v>United States of America</v>
      </c>
      <c r="H636" s="1" t="str">
        <f>VLOOKUP(InputData[[#This Row],[CUSTOMER NAME]],Country[#All],3,0)</f>
        <v>Export</v>
      </c>
      <c r="I636" s="1" t="str">
        <f>TEXT(InputData[[#This Row],[DATE]],"MMM")</f>
        <v>Sep</v>
      </c>
      <c r="J636" s="1">
        <f>WEEKNUM(InputData[[#This Row],[DATE]])</f>
        <v>40</v>
      </c>
    </row>
    <row r="637" spans="1:10" x14ac:dyDescent="0.25">
      <c r="A637" s="3">
        <v>44468</v>
      </c>
      <c r="B637" s="6" t="s">
        <v>84</v>
      </c>
      <c r="C637" s="4" t="s">
        <v>34</v>
      </c>
      <c r="D637" s="5">
        <v>58.3</v>
      </c>
      <c r="E637" s="1">
        <v>13</v>
      </c>
      <c r="F637" s="1">
        <f>InputData[[#This Row],[UNIT PRICE ($)]]*InputData[[#This Row],[QUANTITY]]</f>
        <v>757.9</v>
      </c>
      <c r="G637" s="1" t="str">
        <f>VLOOKUP(InputData[[#This Row],[CUSTOMER NAME]],Country[#All],2,0)</f>
        <v>Ethiopia</v>
      </c>
      <c r="H637" s="1" t="str">
        <f>VLOOKUP(InputData[[#This Row],[CUSTOMER NAME]],Country[#All],3,0)</f>
        <v>Export</v>
      </c>
      <c r="I637" s="1" t="str">
        <f>TEXT(InputData[[#This Row],[DATE]],"MMM")</f>
        <v>Sep</v>
      </c>
      <c r="J637" s="1">
        <f>WEEKNUM(InputData[[#This Row],[DATE]])</f>
        <v>40</v>
      </c>
    </row>
    <row r="638" spans="1:10" x14ac:dyDescent="0.25">
      <c r="A638" s="3">
        <v>44469</v>
      </c>
      <c r="B638" s="6" t="s">
        <v>60</v>
      </c>
      <c r="C638" s="4" t="s">
        <v>14</v>
      </c>
      <c r="D638" s="5">
        <v>146.72</v>
      </c>
      <c r="E638" s="1">
        <v>9</v>
      </c>
      <c r="F638" s="1">
        <f>InputData[[#This Row],[UNIT PRICE ($)]]*InputData[[#This Row],[QUANTITY]]</f>
        <v>1320.48</v>
      </c>
      <c r="G638" s="1" t="str">
        <f>VLOOKUP(InputData[[#This Row],[CUSTOMER NAME]],Country[#All],2,0)</f>
        <v>Nigeria</v>
      </c>
      <c r="H638" s="1" t="str">
        <f>VLOOKUP(InputData[[#This Row],[CUSTOMER NAME]],Country[#All],3,0)</f>
        <v>Export</v>
      </c>
      <c r="I638" s="1" t="str">
        <f>TEXT(InputData[[#This Row],[DATE]],"MMM")</f>
        <v>Sep</v>
      </c>
      <c r="J638" s="1">
        <f>WEEKNUM(InputData[[#This Row],[DATE]])</f>
        <v>40</v>
      </c>
    </row>
    <row r="639" spans="1:10" x14ac:dyDescent="0.25">
      <c r="A639" s="3">
        <v>44469</v>
      </c>
      <c r="B639" s="6" t="s">
        <v>114</v>
      </c>
      <c r="C639" s="4" t="s">
        <v>6</v>
      </c>
      <c r="D639" s="5">
        <v>85.5</v>
      </c>
      <c r="E639" s="1">
        <v>5</v>
      </c>
      <c r="F639" s="1">
        <f>InputData[[#This Row],[UNIT PRICE ($)]]*InputData[[#This Row],[QUANTITY]]</f>
        <v>427.5</v>
      </c>
      <c r="G639" s="1" t="str">
        <f>VLOOKUP(InputData[[#This Row],[CUSTOMER NAME]],Country[#All],2,0)</f>
        <v>United States of America</v>
      </c>
      <c r="H639" s="1" t="str">
        <f>VLOOKUP(InputData[[#This Row],[CUSTOMER NAME]],Country[#All],3,0)</f>
        <v>Export</v>
      </c>
      <c r="I639" s="1" t="str">
        <f>TEXT(InputData[[#This Row],[DATE]],"MMM")</f>
        <v>Sep</v>
      </c>
      <c r="J639" s="1">
        <f>WEEKNUM(InputData[[#This Row],[DATE]])</f>
        <v>40</v>
      </c>
    </row>
    <row r="640" spans="1:10" x14ac:dyDescent="0.25">
      <c r="A640" s="3">
        <v>44470</v>
      </c>
      <c r="B640" s="6" t="s">
        <v>88</v>
      </c>
      <c r="C640" s="4" t="s">
        <v>30</v>
      </c>
      <c r="D640" s="5">
        <v>201.28</v>
      </c>
      <c r="E640" s="1">
        <v>14</v>
      </c>
      <c r="F640" s="1">
        <f>InputData[[#This Row],[UNIT PRICE ($)]]*InputData[[#This Row],[QUANTITY]]</f>
        <v>2817.92</v>
      </c>
      <c r="G640" s="1" t="str">
        <f>VLOOKUP(InputData[[#This Row],[CUSTOMER NAME]],Country[#All],2,0)</f>
        <v>India</v>
      </c>
      <c r="H640" s="1" t="str">
        <f>VLOOKUP(InputData[[#This Row],[CUSTOMER NAME]],Country[#All],3,0)</f>
        <v>South</v>
      </c>
      <c r="I640" s="1" t="str">
        <f>TEXT(InputData[[#This Row],[DATE]],"MMM")</f>
        <v>Oct</v>
      </c>
      <c r="J640" s="1">
        <f>WEEKNUM(InputData[[#This Row],[DATE]])</f>
        <v>40</v>
      </c>
    </row>
    <row r="641" spans="1:10" x14ac:dyDescent="0.25">
      <c r="A641" s="3">
        <v>44471</v>
      </c>
      <c r="B641" s="6" t="s">
        <v>67</v>
      </c>
      <c r="C641" s="4" t="s">
        <v>14</v>
      </c>
      <c r="D641" s="5">
        <v>146.72</v>
      </c>
      <c r="E641" s="1">
        <v>15</v>
      </c>
      <c r="F641" s="1">
        <f>InputData[[#This Row],[UNIT PRICE ($)]]*InputData[[#This Row],[QUANTITY]]</f>
        <v>2200.8000000000002</v>
      </c>
      <c r="G641" s="1" t="str">
        <f>VLOOKUP(InputData[[#This Row],[CUSTOMER NAME]],Country[#All],2,0)</f>
        <v>United Kingdom</v>
      </c>
      <c r="H641" s="1" t="str">
        <f>VLOOKUP(InputData[[#This Row],[CUSTOMER NAME]],Country[#All],3,0)</f>
        <v>Export</v>
      </c>
      <c r="I641" s="1" t="str">
        <f>TEXT(InputData[[#This Row],[DATE]],"MMM")</f>
        <v>Oct</v>
      </c>
      <c r="J641" s="1">
        <f>WEEKNUM(InputData[[#This Row],[DATE]])</f>
        <v>40</v>
      </c>
    </row>
    <row r="642" spans="1:10" x14ac:dyDescent="0.25">
      <c r="A642" s="3">
        <v>44471</v>
      </c>
      <c r="B642" s="6" t="s">
        <v>70</v>
      </c>
      <c r="C642" s="4" t="s">
        <v>2</v>
      </c>
      <c r="D642" s="5">
        <v>142.80000000000001</v>
      </c>
      <c r="E642" s="1">
        <v>22</v>
      </c>
      <c r="F642" s="1">
        <f>InputData[[#This Row],[UNIT PRICE ($)]]*InputData[[#This Row],[QUANTITY]]</f>
        <v>3141.6000000000004</v>
      </c>
      <c r="G642" s="1" t="str">
        <f>VLOOKUP(InputData[[#This Row],[CUSTOMER NAME]],Country[#All],2,0)</f>
        <v>Mexico</v>
      </c>
      <c r="H642" s="1" t="str">
        <f>VLOOKUP(InputData[[#This Row],[CUSTOMER NAME]],Country[#All],3,0)</f>
        <v>Export</v>
      </c>
      <c r="I642" s="1" t="str">
        <f>TEXT(InputData[[#This Row],[DATE]],"MMM")</f>
        <v>Oct</v>
      </c>
      <c r="J642" s="1">
        <f>WEEKNUM(InputData[[#This Row],[DATE]])</f>
        <v>40</v>
      </c>
    </row>
    <row r="643" spans="1:10" x14ac:dyDescent="0.25">
      <c r="A643" s="3">
        <v>44472</v>
      </c>
      <c r="B643" s="6" t="s">
        <v>109</v>
      </c>
      <c r="C643" s="4" t="s">
        <v>19</v>
      </c>
      <c r="D643" s="5">
        <v>210</v>
      </c>
      <c r="E643" s="1">
        <v>9</v>
      </c>
      <c r="F643" s="1">
        <f>InputData[[#This Row],[UNIT PRICE ($)]]*InputData[[#This Row],[QUANTITY]]</f>
        <v>1890</v>
      </c>
      <c r="G643" s="1" t="str">
        <f>VLOOKUP(InputData[[#This Row],[CUSTOMER NAME]],Country[#All],2,0)</f>
        <v>Pakistan</v>
      </c>
      <c r="H643" s="1" t="str">
        <f>VLOOKUP(InputData[[#This Row],[CUSTOMER NAME]],Country[#All],3,0)</f>
        <v>Export</v>
      </c>
      <c r="I643" s="1" t="str">
        <f>TEXT(InputData[[#This Row],[DATE]],"MMM")</f>
        <v>Oct</v>
      </c>
      <c r="J643" s="1">
        <f>WEEKNUM(InputData[[#This Row],[DATE]])</f>
        <v>41</v>
      </c>
    </row>
    <row r="644" spans="1:10" x14ac:dyDescent="0.25">
      <c r="A644" s="3">
        <v>44472</v>
      </c>
      <c r="B644" s="6" t="s">
        <v>65</v>
      </c>
      <c r="C644" s="4" t="s">
        <v>41</v>
      </c>
      <c r="D644" s="5">
        <v>173.88</v>
      </c>
      <c r="E644" s="1">
        <v>23</v>
      </c>
      <c r="F644" s="1">
        <f>InputData[[#This Row],[UNIT PRICE ($)]]*InputData[[#This Row],[QUANTITY]]</f>
        <v>3999.24</v>
      </c>
      <c r="G644" s="1" t="str">
        <f>VLOOKUP(InputData[[#This Row],[CUSTOMER NAME]],Country[#All],2,0)</f>
        <v>Pakistan</v>
      </c>
      <c r="H644" s="1" t="str">
        <f>VLOOKUP(InputData[[#This Row],[CUSTOMER NAME]],Country[#All],3,0)</f>
        <v>Export</v>
      </c>
      <c r="I644" s="1" t="str">
        <f>TEXT(InputData[[#This Row],[DATE]],"MMM")</f>
        <v>Oct</v>
      </c>
      <c r="J644" s="1">
        <f>WEEKNUM(InputData[[#This Row],[DATE]])</f>
        <v>41</v>
      </c>
    </row>
    <row r="645" spans="1:10" x14ac:dyDescent="0.25">
      <c r="A645" s="3">
        <v>44472</v>
      </c>
      <c r="B645" s="6" t="s">
        <v>73</v>
      </c>
      <c r="C645" s="4" t="s">
        <v>11</v>
      </c>
      <c r="D645" s="5">
        <v>48.4</v>
      </c>
      <c r="E645" s="1">
        <v>5</v>
      </c>
      <c r="F645" s="1">
        <f>InputData[[#This Row],[UNIT PRICE ($)]]*InputData[[#This Row],[QUANTITY]]</f>
        <v>242</v>
      </c>
      <c r="G645" s="1" t="str">
        <f>VLOOKUP(InputData[[#This Row],[CUSTOMER NAME]],Country[#All],2,0)</f>
        <v>India</v>
      </c>
      <c r="H645" s="1" t="str">
        <f>VLOOKUP(InputData[[#This Row],[CUSTOMER NAME]],Country[#All],3,0)</f>
        <v>East</v>
      </c>
      <c r="I645" s="1" t="str">
        <f>TEXT(InputData[[#This Row],[DATE]],"MMM")</f>
        <v>Oct</v>
      </c>
      <c r="J645" s="1">
        <f>WEEKNUM(InputData[[#This Row],[DATE]])</f>
        <v>41</v>
      </c>
    </row>
    <row r="646" spans="1:10" x14ac:dyDescent="0.25">
      <c r="A646" s="3">
        <v>44473</v>
      </c>
      <c r="B646" s="6" t="s">
        <v>81</v>
      </c>
      <c r="C646" s="4" t="s">
        <v>7</v>
      </c>
      <c r="D646" s="5">
        <v>47.730000000000004</v>
      </c>
      <c r="E646" s="1">
        <v>15</v>
      </c>
      <c r="F646" s="1">
        <f>InputData[[#This Row],[UNIT PRICE ($)]]*InputData[[#This Row],[QUANTITY]]</f>
        <v>715.95</v>
      </c>
      <c r="G646" s="1" t="str">
        <f>VLOOKUP(InputData[[#This Row],[CUSTOMER NAME]],Country[#All],2,0)</f>
        <v>India</v>
      </c>
      <c r="H646" s="1" t="str">
        <f>VLOOKUP(InputData[[#This Row],[CUSTOMER NAME]],Country[#All],3,0)</f>
        <v>East</v>
      </c>
      <c r="I646" s="1" t="str">
        <f>TEXT(InputData[[#This Row],[DATE]],"MMM")</f>
        <v>Oct</v>
      </c>
      <c r="J646" s="1">
        <f>WEEKNUM(InputData[[#This Row],[DATE]])</f>
        <v>41</v>
      </c>
    </row>
    <row r="647" spans="1:10" x14ac:dyDescent="0.25">
      <c r="A647" s="3">
        <v>44474</v>
      </c>
      <c r="B647" s="6" t="s">
        <v>82</v>
      </c>
      <c r="C647" s="4" t="s">
        <v>24</v>
      </c>
      <c r="D647" s="5">
        <v>156.96</v>
      </c>
      <c r="E647" s="1">
        <v>36</v>
      </c>
      <c r="F647" s="1">
        <f>InputData[[#This Row],[UNIT PRICE ($)]]*InputData[[#This Row],[QUANTITY]]</f>
        <v>5650.56</v>
      </c>
      <c r="G647" s="1" t="str">
        <f>VLOOKUP(InputData[[#This Row],[CUSTOMER NAME]],Country[#All],2,0)</f>
        <v>India</v>
      </c>
      <c r="H647" s="1" t="str">
        <f>VLOOKUP(InputData[[#This Row],[CUSTOMER NAME]],Country[#All],3,0)</f>
        <v>Western</v>
      </c>
      <c r="I647" s="1" t="str">
        <f>TEXT(InputData[[#This Row],[DATE]],"MMM")</f>
        <v>Oct</v>
      </c>
      <c r="J647" s="1">
        <f>WEEKNUM(InputData[[#This Row],[DATE]])</f>
        <v>41</v>
      </c>
    </row>
    <row r="648" spans="1:10" x14ac:dyDescent="0.25">
      <c r="A648" s="3">
        <v>44474</v>
      </c>
      <c r="B648" s="6" t="s">
        <v>85</v>
      </c>
      <c r="C648" s="4" t="s">
        <v>24</v>
      </c>
      <c r="D648" s="5">
        <v>156.96</v>
      </c>
      <c r="E648" s="1">
        <v>23</v>
      </c>
      <c r="F648" s="1">
        <f>InputData[[#This Row],[UNIT PRICE ($)]]*InputData[[#This Row],[QUANTITY]]</f>
        <v>3610.0800000000004</v>
      </c>
      <c r="G648" s="1" t="str">
        <f>VLOOKUP(InputData[[#This Row],[CUSTOMER NAME]],Country[#All],2,0)</f>
        <v>India</v>
      </c>
      <c r="H648" s="1" t="str">
        <f>VLOOKUP(InputData[[#This Row],[CUSTOMER NAME]],Country[#All],3,0)</f>
        <v>Northeast</v>
      </c>
      <c r="I648" s="1" t="str">
        <f>TEXT(InputData[[#This Row],[DATE]],"MMM")</f>
        <v>Oct</v>
      </c>
      <c r="J648" s="1">
        <f>WEEKNUM(InputData[[#This Row],[DATE]])</f>
        <v>41</v>
      </c>
    </row>
    <row r="649" spans="1:10" x14ac:dyDescent="0.25">
      <c r="A649" s="3">
        <v>44475</v>
      </c>
      <c r="B649" s="6" t="s">
        <v>63</v>
      </c>
      <c r="C649" s="4" t="s">
        <v>35</v>
      </c>
      <c r="D649" s="5">
        <v>6.7</v>
      </c>
      <c r="E649" s="1">
        <v>1</v>
      </c>
      <c r="F649" s="1">
        <f>InputData[[#This Row],[UNIT PRICE ($)]]*InputData[[#This Row],[QUANTITY]]</f>
        <v>6.7</v>
      </c>
      <c r="G649" s="1" t="str">
        <f>VLOOKUP(InputData[[#This Row],[CUSTOMER NAME]],Country[#All],2,0)</f>
        <v>Saudi Arabia</v>
      </c>
      <c r="H649" s="1" t="str">
        <f>VLOOKUP(InputData[[#This Row],[CUSTOMER NAME]],Country[#All],3,0)</f>
        <v>Export</v>
      </c>
      <c r="I649" s="1" t="str">
        <f>TEXT(InputData[[#This Row],[DATE]],"MMM")</f>
        <v>Oct</v>
      </c>
      <c r="J649" s="1">
        <f>WEEKNUM(InputData[[#This Row],[DATE]])</f>
        <v>41</v>
      </c>
    </row>
    <row r="650" spans="1:10" x14ac:dyDescent="0.25">
      <c r="A650" s="3">
        <v>44475</v>
      </c>
      <c r="B650" s="6" t="s">
        <v>70</v>
      </c>
      <c r="C650" s="4" t="s">
        <v>8</v>
      </c>
      <c r="D650" s="5">
        <v>94.62</v>
      </c>
      <c r="E650" s="1">
        <v>23</v>
      </c>
      <c r="F650" s="1">
        <f>InputData[[#This Row],[UNIT PRICE ($)]]*InputData[[#This Row],[QUANTITY]]</f>
        <v>2176.2600000000002</v>
      </c>
      <c r="G650" s="1" t="str">
        <f>VLOOKUP(InputData[[#This Row],[CUSTOMER NAME]],Country[#All],2,0)</f>
        <v>Mexico</v>
      </c>
      <c r="H650" s="1" t="str">
        <f>VLOOKUP(InputData[[#This Row],[CUSTOMER NAME]],Country[#All],3,0)</f>
        <v>Export</v>
      </c>
      <c r="I650" s="1" t="str">
        <f>TEXT(InputData[[#This Row],[DATE]],"MMM")</f>
        <v>Oct</v>
      </c>
      <c r="J650" s="1">
        <f>WEEKNUM(InputData[[#This Row],[DATE]])</f>
        <v>41</v>
      </c>
    </row>
    <row r="651" spans="1:10" x14ac:dyDescent="0.25">
      <c r="A651" s="3">
        <v>44475</v>
      </c>
      <c r="B651" s="6" t="s">
        <v>71</v>
      </c>
      <c r="C651" s="4" t="s">
        <v>43</v>
      </c>
      <c r="D651" s="5">
        <v>83.08</v>
      </c>
      <c r="E651" s="1">
        <v>17</v>
      </c>
      <c r="F651" s="1">
        <f>InputData[[#This Row],[UNIT PRICE ($)]]*InputData[[#This Row],[QUANTITY]]</f>
        <v>1412.36</v>
      </c>
      <c r="G651" s="1" t="str">
        <f>VLOOKUP(InputData[[#This Row],[CUSTOMER NAME]],Country[#All],2,0)</f>
        <v>India</v>
      </c>
      <c r="H651" s="1" t="str">
        <f>VLOOKUP(InputData[[#This Row],[CUSTOMER NAME]],Country[#All],3,0)</f>
        <v>Central</v>
      </c>
      <c r="I651" s="1" t="str">
        <f>TEXT(InputData[[#This Row],[DATE]],"MMM")</f>
        <v>Oct</v>
      </c>
      <c r="J651" s="1">
        <f>WEEKNUM(InputData[[#This Row],[DATE]])</f>
        <v>41</v>
      </c>
    </row>
    <row r="652" spans="1:10" x14ac:dyDescent="0.25">
      <c r="A652" s="3">
        <v>44475</v>
      </c>
      <c r="B652" s="6" t="s">
        <v>74</v>
      </c>
      <c r="C652" s="4" t="s">
        <v>21</v>
      </c>
      <c r="D652" s="5">
        <v>162.54</v>
      </c>
      <c r="E652" s="1">
        <v>10</v>
      </c>
      <c r="F652" s="1">
        <f>InputData[[#This Row],[UNIT PRICE ($)]]*InputData[[#This Row],[QUANTITY]]</f>
        <v>1625.3999999999999</v>
      </c>
      <c r="G652" s="1" t="str">
        <f>VLOOKUP(InputData[[#This Row],[CUSTOMER NAME]],Country[#All],2,0)</f>
        <v>Brazil</v>
      </c>
      <c r="H652" s="1" t="str">
        <f>VLOOKUP(InputData[[#This Row],[CUSTOMER NAME]],Country[#All],3,0)</f>
        <v>Export</v>
      </c>
      <c r="I652" s="1" t="str">
        <f>TEXT(InputData[[#This Row],[DATE]],"MMM")</f>
        <v>Oct</v>
      </c>
      <c r="J652" s="1">
        <f>WEEKNUM(InputData[[#This Row],[DATE]])</f>
        <v>41</v>
      </c>
    </row>
    <row r="653" spans="1:10" x14ac:dyDescent="0.25">
      <c r="A653" s="3">
        <v>44475</v>
      </c>
      <c r="B653" s="6" t="s">
        <v>77</v>
      </c>
      <c r="C653" s="4" t="s">
        <v>36</v>
      </c>
      <c r="D653" s="5">
        <v>96.3</v>
      </c>
      <c r="E653" s="1">
        <v>12</v>
      </c>
      <c r="F653" s="1">
        <f>InputData[[#This Row],[UNIT PRICE ($)]]*InputData[[#This Row],[QUANTITY]]</f>
        <v>1155.5999999999999</v>
      </c>
      <c r="G653" s="1" t="str">
        <f>VLOOKUP(InputData[[#This Row],[CUSTOMER NAME]],Country[#All],2,0)</f>
        <v>India</v>
      </c>
      <c r="H653" s="1" t="str">
        <f>VLOOKUP(InputData[[#This Row],[CUSTOMER NAME]],Country[#All],3,0)</f>
        <v>Western</v>
      </c>
      <c r="I653" s="1" t="str">
        <f>TEXT(InputData[[#This Row],[DATE]],"MMM")</f>
        <v>Oct</v>
      </c>
      <c r="J653" s="1">
        <f>WEEKNUM(InputData[[#This Row],[DATE]])</f>
        <v>41</v>
      </c>
    </row>
    <row r="654" spans="1:10" x14ac:dyDescent="0.25">
      <c r="A654" s="3">
        <v>44475</v>
      </c>
      <c r="B654" s="6" t="s">
        <v>117</v>
      </c>
      <c r="C654" s="4" t="s">
        <v>35</v>
      </c>
      <c r="D654" s="5">
        <v>6.7</v>
      </c>
      <c r="E654" s="1">
        <v>1</v>
      </c>
      <c r="F654" s="1">
        <f>InputData[[#This Row],[UNIT PRICE ($)]]*InputData[[#This Row],[QUANTITY]]</f>
        <v>6.7</v>
      </c>
      <c r="G654" s="1" t="str">
        <f>VLOOKUP(InputData[[#This Row],[CUSTOMER NAME]],Country[#All],2,0)</f>
        <v>United States of America</v>
      </c>
      <c r="H654" s="1" t="str">
        <f>VLOOKUP(InputData[[#This Row],[CUSTOMER NAME]],Country[#All],3,0)</f>
        <v>Export</v>
      </c>
      <c r="I654" s="1" t="str">
        <f>TEXT(InputData[[#This Row],[DATE]],"MMM")</f>
        <v>Oct</v>
      </c>
      <c r="J654" s="1">
        <f>WEEKNUM(InputData[[#This Row],[DATE]])</f>
        <v>41</v>
      </c>
    </row>
    <row r="655" spans="1:10" x14ac:dyDescent="0.25">
      <c r="A655" s="3">
        <v>44476</v>
      </c>
      <c r="B655" s="6" t="s">
        <v>74</v>
      </c>
      <c r="C655" s="4" t="s">
        <v>26</v>
      </c>
      <c r="D655" s="5">
        <v>24.66</v>
      </c>
      <c r="E655" s="1">
        <v>6</v>
      </c>
      <c r="F655" s="1">
        <f>InputData[[#This Row],[UNIT PRICE ($)]]*InputData[[#This Row],[QUANTITY]]</f>
        <v>147.96</v>
      </c>
      <c r="G655" s="1" t="str">
        <f>VLOOKUP(InputData[[#This Row],[CUSTOMER NAME]],Country[#All],2,0)</f>
        <v>Brazil</v>
      </c>
      <c r="H655" s="1" t="str">
        <f>VLOOKUP(InputData[[#This Row],[CUSTOMER NAME]],Country[#All],3,0)</f>
        <v>Export</v>
      </c>
      <c r="I655" s="1" t="str">
        <f>TEXT(InputData[[#This Row],[DATE]],"MMM")</f>
        <v>Oct</v>
      </c>
      <c r="J655" s="1">
        <f>WEEKNUM(InputData[[#This Row],[DATE]])</f>
        <v>41</v>
      </c>
    </row>
    <row r="656" spans="1:10" x14ac:dyDescent="0.25">
      <c r="A656" s="3">
        <v>44478</v>
      </c>
      <c r="B656" s="6" t="s">
        <v>60</v>
      </c>
      <c r="C656" s="4" t="s">
        <v>38</v>
      </c>
      <c r="D656" s="5">
        <v>79.92</v>
      </c>
      <c r="E656" s="1">
        <v>14</v>
      </c>
      <c r="F656" s="1">
        <f>InputData[[#This Row],[UNIT PRICE ($)]]*InputData[[#This Row],[QUANTITY]]</f>
        <v>1118.8800000000001</v>
      </c>
      <c r="G656" s="1" t="str">
        <f>VLOOKUP(InputData[[#This Row],[CUSTOMER NAME]],Country[#All],2,0)</f>
        <v>Nigeria</v>
      </c>
      <c r="H656" s="1" t="str">
        <f>VLOOKUP(InputData[[#This Row],[CUSTOMER NAME]],Country[#All],3,0)</f>
        <v>Export</v>
      </c>
      <c r="I656" s="1" t="str">
        <f>TEXT(InputData[[#This Row],[DATE]],"MMM")</f>
        <v>Oct</v>
      </c>
      <c r="J656" s="1">
        <f>WEEKNUM(InputData[[#This Row],[DATE]])</f>
        <v>41</v>
      </c>
    </row>
    <row r="657" spans="1:10" x14ac:dyDescent="0.25">
      <c r="A657" s="3">
        <v>44478</v>
      </c>
      <c r="B657" s="6" t="s">
        <v>61</v>
      </c>
      <c r="C657" s="4" t="s">
        <v>38</v>
      </c>
      <c r="D657" s="5">
        <v>79.92</v>
      </c>
      <c r="E657" s="1">
        <v>5</v>
      </c>
      <c r="F657" s="1">
        <f>InputData[[#This Row],[UNIT PRICE ($)]]*InputData[[#This Row],[QUANTITY]]</f>
        <v>399.6</v>
      </c>
      <c r="G657" s="1" t="str">
        <f>VLOOKUP(InputData[[#This Row],[CUSTOMER NAME]],Country[#All],2,0)</f>
        <v>Bangladesh</v>
      </c>
      <c r="H657" s="1" t="str">
        <f>VLOOKUP(InputData[[#This Row],[CUSTOMER NAME]],Country[#All],3,0)</f>
        <v>Export</v>
      </c>
      <c r="I657" s="1" t="str">
        <f>TEXT(InputData[[#This Row],[DATE]],"MMM")</f>
        <v>Oct</v>
      </c>
      <c r="J657" s="1">
        <f>WEEKNUM(InputData[[#This Row],[DATE]])</f>
        <v>41</v>
      </c>
    </row>
    <row r="658" spans="1:10" x14ac:dyDescent="0.25">
      <c r="A658" s="3">
        <v>44478</v>
      </c>
      <c r="B658" s="6" t="s">
        <v>73</v>
      </c>
      <c r="C658" s="4" t="s">
        <v>32</v>
      </c>
      <c r="D658" s="5">
        <v>117.48</v>
      </c>
      <c r="E658" s="1">
        <v>11</v>
      </c>
      <c r="F658" s="1">
        <f>InputData[[#This Row],[UNIT PRICE ($)]]*InputData[[#This Row],[QUANTITY]]</f>
        <v>1292.28</v>
      </c>
      <c r="G658" s="1" t="str">
        <f>VLOOKUP(InputData[[#This Row],[CUSTOMER NAME]],Country[#All],2,0)</f>
        <v>India</v>
      </c>
      <c r="H658" s="1" t="str">
        <f>VLOOKUP(InputData[[#This Row],[CUSTOMER NAME]],Country[#All],3,0)</f>
        <v>East</v>
      </c>
      <c r="I658" s="1" t="str">
        <f>TEXT(InputData[[#This Row],[DATE]],"MMM")</f>
        <v>Oct</v>
      </c>
      <c r="J658" s="1">
        <f>WEEKNUM(InputData[[#This Row],[DATE]])</f>
        <v>41</v>
      </c>
    </row>
    <row r="659" spans="1:10" x14ac:dyDescent="0.25">
      <c r="A659" s="3">
        <v>44479</v>
      </c>
      <c r="B659" s="6" t="s">
        <v>63</v>
      </c>
      <c r="C659" s="4" t="s">
        <v>35</v>
      </c>
      <c r="D659" s="5">
        <v>6.7</v>
      </c>
      <c r="E659" s="1">
        <v>14</v>
      </c>
      <c r="F659" s="1">
        <f>InputData[[#This Row],[UNIT PRICE ($)]]*InputData[[#This Row],[QUANTITY]]</f>
        <v>93.8</v>
      </c>
      <c r="G659" s="1" t="str">
        <f>VLOOKUP(InputData[[#This Row],[CUSTOMER NAME]],Country[#All],2,0)</f>
        <v>Saudi Arabia</v>
      </c>
      <c r="H659" s="1" t="str">
        <f>VLOOKUP(InputData[[#This Row],[CUSTOMER NAME]],Country[#All],3,0)</f>
        <v>Export</v>
      </c>
      <c r="I659" s="1" t="str">
        <f>TEXT(InputData[[#This Row],[DATE]],"MMM")</f>
        <v>Oct</v>
      </c>
      <c r="J659" s="1">
        <f>WEEKNUM(InputData[[#This Row],[DATE]])</f>
        <v>42</v>
      </c>
    </row>
    <row r="660" spans="1:10" x14ac:dyDescent="0.25">
      <c r="A660" s="3">
        <v>44479</v>
      </c>
      <c r="B660" s="6" t="s">
        <v>63</v>
      </c>
      <c r="C660" s="4" t="s">
        <v>19</v>
      </c>
      <c r="D660" s="5">
        <v>210</v>
      </c>
      <c r="E660" s="1">
        <v>9</v>
      </c>
      <c r="F660" s="1">
        <f>InputData[[#This Row],[UNIT PRICE ($)]]*InputData[[#This Row],[QUANTITY]]</f>
        <v>1890</v>
      </c>
      <c r="G660" s="1" t="str">
        <f>VLOOKUP(InputData[[#This Row],[CUSTOMER NAME]],Country[#All],2,0)</f>
        <v>Saudi Arabia</v>
      </c>
      <c r="H660" s="1" t="str">
        <f>VLOOKUP(InputData[[#This Row],[CUSTOMER NAME]],Country[#All],3,0)</f>
        <v>Export</v>
      </c>
      <c r="I660" s="1" t="str">
        <f>TEXT(InputData[[#This Row],[DATE]],"MMM")</f>
        <v>Oct</v>
      </c>
      <c r="J660" s="1">
        <f>WEEKNUM(InputData[[#This Row],[DATE]])</f>
        <v>42</v>
      </c>
    </row>
    <row r="661" spans="1:10" x14ac:dyDescent="0.25">
      <c r="A661" s="3">
        <v>44479</v>
      </c>
      <c r="B661" s="6" t="s">
        <v>74</v>
      </c>
      <c r="C661" s="4" t="s">
        <v>44</v>
      </c>
      <c r="D661" s="5">
        <v>82.08</v>
      </c>
      <c r="E661" s="1">
        <v>12</v>
      </c>
      <c r="F661" s="1">
        <f>InputData[[#This Row],[UNIT PRICE ($)]]*InputData[[#This Row],[QUANTITY]]</f>
        <v>984.96</v>
      </c>
      <c r="G661" s="1" t="str">
        <f>VLOOKUP(InputData[[#This Row],[CUSTOMER NAME]],Country[#All],2,0)</f>
        <v>Brazil</v>
      </c>
      <c r="H661" s="1" t="str">
        <f>VLOOKUP(InputData[[#This Row],[CUSTOMER NAME]],Country[#All],3,0)</f>
        <v>Export</v>
      </c>
      <c r="I661" s="1" t="str">
        <f>TEXT(InputData[[#This Row],[DATE]],"MMM")</f>
        <v>Oct</v>
      </c>
      <c r="J661" s="1">
        <f>WEEKNUM(InputData[[#This Row],[DATE]])</f>
        <v>42</v>
      </c>
    </row>
    <row r="662" spans="1:10" x14ac:dyDescent="0.25">
      <c r="A662" s="3">
        <v>44480</v>
      </c>
      <c r="B662" s="6" t="s">
        <v>82</v>
      </c>
      <c r="C662" s="4" t="s">
        <v>8</v>
      </c>
      <c r="D662" s="5">
        <v>94.62</v>
      </c>
      <c r="E662" s="1">
        <v>10</v>
      </c>
      <c r="F662" s="1">
        <f>InputData[[#This Row],[UNIT PRICE ($)]]*InputData[[#This Row],[QUANTITY]]</f>
        <v>946.2</v>
      </c>
      <c r="G662" s="1" t="str">
        <f>VLOOKUP(InputData[[#This Row],[CUSTOMER NAME]],Country[#All],2,0)</f>
        <v>India</v>
      </c>
      <c r="H662" s="1" t="str">
        <f>VLOOKUP(InputData[[#This Row],[CUSTOMER NAME]],Country[#All],3,0)</f>
        <v>Western</v>
      </c>
      <c r="I662" s="1" t="str">
        <f>TEXT(InputData[[#This Row],[DATE]],"MMM")</f>
        <v>Oct</v>
      </c>
      <c r="J662" s="1">
        <f>WEEKNUM(InputData[[#This Row],[DATE]])</f>
        <v>42</v>
      </c>
    </row>
    <row r="663" spans="1:10" x14ac:dyDescent="0.25">
      <c r="A663" s="3">
        <v>44480</v>
      </c>
      <c r="B663" s="6" t="s">
        <v>84</v>
      </c>
      <c r="C663" s="4" t="s">
        <v>11</v>
      </c>
      <c r="D663" s="5">
        <v>48.4</v>
      </c>
      <c r="E663" s="1">
        <v>15</v>
      </c>
      <c r="F663" s="1">
        <f>InputData[[#This Row],[UNIT PRICE ($)]]*InputData[[#This Row],[QUANTITY]]</f>
        <v>726</v>
      </c>
      <c r="G663" s="1" t="str">
        <f>VLOOKUP(InputData[[#This Row],[CUSTOMER NAME]],Country[#All],2,0)</f>
        <v>Ethiopia</v>
      </c>
      <c r="H663" s="1" t="str">
        <f>VLOOKUP(InputData[[#This Row],[CUSTOMER NAME]],Country[#All],3,0)</f>
        <v>Export</v>
      </c>
      <c r="I663" s="1" t="str">
        <f>TEXT(InputData[[#This Row],[DATE]],"MMM")</f>
        <v>Oct</v>
      </c>
      <c r="J663" s="1">
        <f>WEEKNUM(InputData[[#This Row],[DATE]])</f>
        <v>42</v>
      </c>
    </row>
    <row r="664" spans="1:10" x14ac:dyDescent="0.25">
      <c r="A664" s="3">
        <v>44481</v>
      </c>
      <c r="B664" s="6" t="s">
        <v>75</v>
      </c>
      <c r="C664" s="4" t="s">
        <v>27</v>
      </c>
      <c r="D664" s="5">
        <v>57.120000000000005</v>
      </c>
      <c r="E664" s="1">
        <v>8</v>
      </c>
      <c r="F664" s="1">
        <f>InputData[[#This Row],[UNIT PRICE ($)]]*InputData[[#This Row],[QUANTITY]]</f>
        <v>456.96000000000004</v>
      </c>
      <c r="G664" s="1" t="str">
        <f>VLOOKUP(InputData[[#This Row],[CUSTOMER NAME]],Country[#All],2,0)</f>
        <v>Russia</v>
      </c>
      <c r="H664" s="1" t="str">
        <f>VLOOKUP(InputData[[#This Row],[CUSTOMER NAME]],Country[#All],3,0)</f>
        <v>Export</v>
      </c>
      <c r="I664" s="1" t="str">
        <f>TEXT(InputData[[#This Row],[DATE]],"MMM")</f>
        <v>Oct</v>
      </c>
      <c r="J664" s="1">
        <f>WEEKNUM(InputData[[#This Row],[DATE]])</f>
        <v>42</v>
      </c>
    </row>
    <row r="665" spans="1:10" x14ac:dyDescent="0.25">
      <c r="A665" s="3">
        <v>44482</v>
      </c>
      <c r="B665" s="6" t="s">
        <v>61</v>
      </c>
      <c r="C665" s="4" t="s">
        <v>2</v>
      </c>
      <c r="D665" s="5">
        <v>142.80000000000001</v>
      </c>
      <c r="E665" s="1">
        <v>15</v>
      </c>
      <c r="F665" s="1">
        <f>InputData[[#This Row],[UNIT PRICE ($)]]*InputData[[#This Row],[QUANTITY]]</f>
        <v>2142</v>
      </c>
      <c r="G665" s="1" t="str">
        <f>VLOOKUP(InputData[[#This Row],[CUSTOMER NAME]],Country[#All],2,0)</f>
        <v>Bangladesh</v>
      </c>
      <c r="H665" s="1" t="str">
        <f>VLOOKUP(InputData[[#This Row],[CUSTOMER NAME]],Country[#All],3,0)</f>
        <v>Export</v>
      </c>
      <c r="I665" s="1" t="str">
        <f>TEXT(InputData[[#This Row],[DATE]],"MMM")</f>
        <v>Oct</v>
      </c>
      <c r="J665" s="1">
        <f>WEEKNUM(InputData[[#This Row],[DATE]])</f>
        <v>42</v>
      </c>
    </row>
    <row r="666" spans="1:10" x14ac:dyDescent="0.25">
      <c r="A666" s="3">
        <v>44482</v>
      </c>
      <c r="B666" s="6" t="s">
        <v>77</v>
      </c>
      <c r="C666" s="4" t="s">
        <v>38</v>
      </c>
      <c r="D666" s="5">
        <v>79.92</v>
      </c>
      <c r="E666" s="1">
        <v>18</v>
      </c>
      <c r="F666" s="1">
        <f>InputData[[#This Row],[UNIT PRICE ($)]]*InputData[[#This Row],[QUANTITY]]</f>
        <v>1438.56</v>
      </c>
      <c r="G666" s="1" t="str">
        <f>VLOOKUP(InputData[[#This Row],[CUSTOMER NAME]],Country[#All],2,0)</f>
        <v>India</v>
      </c>
      <c r="H666" s="1" t="str">
        <f>VLOOKUP(InputData[[#This Row],[CUSTOMER NAME]],Country[#All],3,0)</f>
        <v>Western</v>
      </c>
      <c r="I666" s="1" t="str">
        <f>TEXT(InputData[[#This Row],[DATE]],"MMM")</f>
        <v>Oct</v>
      </c>
      <c r="J666" s="1">
        <f>WEEKNUM(InputData[[#This Row],[DATE]])</f>
        <v>42</v>
      </c>
    </row>
    <row r="667" spans="1:10" x14ac:dyDescent="0.25">
      <c r="A667" s="3">
        <v>44483</v>
      </c>
      <c r="B667" s="6" t="s">
        <v>66</v>
      </c>
      <c r="C667" s="4" t="s">
        <v>44</v>
      </c>
      <c r="D667" s="5">
        <v>82.08</v>
      </c>
      <c r="E667" s="1">
        <v>15</v>
      </c>
      <c r="F667" s="1">
        <f>InputData[[#This Row],[UNIT PRICE ($)]]*InputData[[#This Row],[QUANTITY]]</f>
        <v>1231.2</v>
      </c>
      <c r="G667" s="1" t="str">
        <f>VLOOKUP(InputData[[#This Row],[CUSTOMER NAME]],Country[#All],2,0)</f>
        <v>Indonesia</v>
      </c>
      <c r="H667" s="1" t="str">
        <f>VLOOKUP(InputData[[#This Row],[CUSTOMER NAME]],Country[#All],3,0)</f>
        <v>Export</v>
      </c>
      <c r="I667" s="1" t="str">
        <f>TEXT(InputData[[#This Row],[DATE]],"MMM")</f>
        <v>Oct</v>
      </c>
      <c r="J667" s="1">
        <f>WEEKNUM(InputData[[#This Row],[DATE]])</f>
        <v>42</v>
      </c>
    </row>
    <row r="668" spans="1:10" x14ac:dyDescent="0.25">
      <c r="A668" s="3">
        <v>44484</v>
      </c>
      <c r="B668" s="6" t="s">
        <v>69</v>
      </c>
      <c r="C668" s="4" t="s">
        <v>15</v>
      </c>
      <c r="D668" s="5">
        <v>15.719999999999999</v>
      </c>
      <c r="E668" s="1">
        <v>10</v>
      </c>
      <c r="F668" s="1">
        <f>InputData[[#This Row],[UNIT PRICE ($)]]*InputData[[#This Row],[QUANTITY]]</f>
        <v>157.19999999999999</v>
      </c>
      <c r="G668" s="1" t="str">
        <f>VLOOKUP(InputData[[#This Row],[CUSTOMER NAME]],Country[#All],2,0)</f>
        <v>India</v>
      </c>
      <c r="H668" s="1" t="str">
        <f>VLOOKUP(InputData[[#This Row],[CUSTOMER NAME]],Country[#All],3,0)</f>
        <v>South</v>
      </c>
      <c r="I668" s="1" t="str">
        <f>TEXT(InputData[[#This Row],[DATE]],"MMM")</f>
        <v>Oct</v>
      </c>
      <c r="J668" s="1">
        <f>WEEKNUM(InputData[[#This Row],[DATE]])</f>
        <v>42</v>
      </c>
    </row>
    <row r="669" spans="1:10" x14ac:dyDescent="0.25">
      <c r="A669" s="3">
        <v>44485</v>
      </c>
      <c r="B669" s="6" t="s">
        <v>80</v>
      </c>
      <c r="C669" s="4" t="s">
        <v>36</v>
      </c>
      <c r="D669" s="5">
        <v>96.3</v>
      </c>
      <c r="E669" s="1">
        <v>3</v>
      </c>
      <c r="F669" s="1">
        <f>InputData[[#This Row],[UNIT PRICE ($)]]*InputData[[#This Row],[QUANTITY]]</f>
        <v>288.89999999999998</v>
      </c>
      <c r="G669" s="1" t="str">
        <f>VLOOKUP(InputData[[#This Row],[CUSTOMER NAME]],Country[#All],2,0)</f>
        <v>South Africa</v>
      </c>
      <c r="H669" s="1" t="str">
        <f>VLOOKUP(InputData[[#This Row],[CUSTOMER NAME]],Country[#All],3,0)</f>
        <v>Export</v>
      </c>
      <c r="I669" s="1" t="str">
        <f>TEXT(InputData[[#This Row],[DATE]],"MMM")</f>
        <v>Oct</v>
      </c>
      <c r="J669" s="1">
        <f>WEEKNUM(InputData[[#This Row],[DATE]])</f>
        <v>42</v>
      </c>
    </row>
    <row r="670" spans="1:10" x14ac:dyDescent="0.25">
      <c r="A670" s="3">
        <v>44485</v>
      </c>
      <c r="B670" s="6" t="s">
        <v>84</v>
      </c>
      <c r="C670" s="4" t="s">
        <v>24</v>
      </c>
      <c r="D670" s="5">
        <v>156.96</v>
      </c>
      <c r="E670" s="1">
        <v>18</v>
      </c>
      <c r="F670" s="1">
        <f>InputData[[#This Row],[UNIT PRICE ($)]]*InputData[[#This Row],[QUANTITY]]</f>
        <v>2825.28</v>
      </c>
      <c r="G670" s="1" t="str">
        <f>VLOOKUP(InputData[[#This Row],[CUSTOMER NAME]],Country[#All],2,0)</f>
        <v>Ethiopia</v>
      </c>
      <c r="H670" s="1" t="str">
        <f>VLOOKUP(InputData[[#This Row],[CUSTOMER NAME]],Country[#All],3,0)</f>
        <v>Export</v>
      </c>
      <c r="I670" s="1" t="str">
        <f>TEXT(InputData[[#This Row],[DATE]],"MMM")</f>
        <v>Oct</v>
      </c>
      <c r="J670" s="1">
        <f>WEEKNUM(InputData[[#This Row],[DATE]])</f>
        <v>42</v>
      </c>
    </row>
    <row r="671" spans="1:10" x14ac:dyDescent="0.25">
      <c r="A671" s="3">
        <v>44485</v>
      </c>
      <c r="B671" s="6" t="s">
        <v>85</v>
      </c>
      <c r="C671" s="4" t="s">
        <v>44</v>
      </c>
      <c r="D671" s="5">
        <v>82.08</v>
      </c>
      <c r="E671" s="1">
        <v>18</v>
      </c>
      <c r="F671" s="1">
        <f>InputData[[#This Row],[UNIT PRICE ($)]]*InputData[[#This Row],[QUANTITY]]</f>
        <v>1477.44</v>
      </c>
      <c r="G671" s="1" t="str">
        <f>VLOOKUP(InputData[[#This Row],[CUSTOMER NAME]],Country[#All],2,0)</f>
        <v>India</v>
      </c>
      <c r="H671" s="1" t="str">
        <f>VLOOKUP(InputData[[#This Row],[CUSTOMER NAME]],Country[#All],3,0)</f>
        <v>Northeast</v>
      </c>
      <c r="I671" s="1" t="str">
        <f>TEXT(InputData[[#This Row],[DATE]],"MMM")</f>
        <v>Oct</v>
      </c>
      <c r="J671" s="1">
        <f>WEEKNUM(InputData[[#This Row],[DATE]])</f>
        <v>42</v>
      </c>
    </row>
    <row r="672" spans="1:10" x14ac:dyDescent="0.25">
      <c r="A672" s="3">
        <v>44486</v>
      </c>
      <c r="B672" s="6" t="s">
        <v>84</v>
      </c>
      <c r="C672" s="4" t="s">
        <v>1</v>
      </c>
      <c r="D672" s="5">
        <v>103.88</v>
      </c>
      <c r="E672" s="1">
        <v>13</v>
      </c>
      <c r="F672" s="1">
        <f>InputData[[#This Row],[UNIT PRICE ($)]]*InputData[[#This Row],[QUANTITY]]</f>
        <v>1350.44</v>
      </c>
      <c r="G672" s="1" t="str">
        <f>VLOOKUP(InputData[[#This Row],[CUSTOMER NAME]],Country[#All],2,0)</f>
        <v>Ethiopia</v>
      </c>
      <c r="H672" s="1" t="str">
        <f>VLOOKUP(InputData[[#This Row],[CUSTOMER NAME]],Country[#All],3,0)</f>
        <v>Export</v>
      </c>
      <c r="I672" s="1" t="str">
        <f>TEXT(InputData[[#This Row],[DATE]],"MMM")</f>
        <v>Oct</v>
      </c>
      <c r="J672" s="1">
        <f>WEEKNUM(InputData[[#This Row],[DATE]])</f>
        <v>43</v>
      </c>
    </row>
    <row r="673" spans="1:10" x14ac:dyDescent="0.25">
      <c r="A673" s="3">
        <v>44487</v>
      </c>
      <c r="B673" s="6" t="s">
        <v>60</v>
      </c>
      <c r="C673" s="4" t="s">
        <v>42</v>
      </c>
      <c r="D673" s="5">
        <v>162</v>
      </c>
      <c r="E673" s="1">
        <v>31</v>
      </c>
      <c r="F673" s="1">
        <f>InputData[[#This Row],[UNIT PRICE ($)]]*InputData[[#This Row],[QUANTITY]]</f>
        <v>5022</v>
      </c>
      <c r="G673" s="1" t="str">
        <f>VLOOKUP(InputData[[#This Row],[CUSTOMER NAME]],Country[#All],2,0)</f>
        <v>Nigeria</v>
      </c>
      <c r="H673" s="1" t="str">
        <f>VLOOKUP(InputData[[#This Row],[CUSTOMER NAME]],Country[#All],3,0)</f>
        <v>Export</v>
      </c>
      <c r="I673" s="1" t="str">
        <f>TEXT(InputData[[#This Row],[DATE]],"MMM")</f>
        <v>Oct</v>
      </c>
      <c r="J673" s="1">
        <f>WEEKNUM(InputData[[#This Row],[DATE]])</f>
        <v>43</v>
      </c>
    </row>
    <row r="674" spans="1:10" x14ac:dyDescent="0.25">
      <c r="A674" s="3">
        <v>44487</v>
      </c>
      <c r="B674" s="6" t="s">
        <v>109</v>
      </c>
      <c r="C674" s="4" t="s">
        <v>8</v>
      </c>
      <c r="D674" s="5">
        <v>94.62</v>
      </c>
      <c r="E674" s="1">
        <v>11</v>
      </c>
      <c r="F674" s="1">
        <f>InputData[[#This Row],[UNIT PRICE ($)]]*InputData[[#This Row],[QUANTITY]]</f>
        <v>1040.8200000000002</v>
      </c>
      <c r="G674" s="1" t="str">
        <f>VLOOKUP(InputData[[#This Row],[CUSTOMER NAME]],Country[#All],2,0)</f>
        <v>Pakistan</v>
      </c>
      <c r="H674" s="1" t="str">
        <f>VLOOKUP(InputData[[#This Row],[CUSTOMER NAME]],Country[#All],3,0)</f>
        <v>Export</v>
      </c>
      <c r="I674" s="1" t="str">
        <f>TEXT(InputData[[#This Row],[DATE]],"MMM")</f>
        <v>Oct</v>
      </c>
      <c r="J674" s="1">
        <f>WEEKNUM(InputData[[#This Row],[DATE]])</f>
        <v>43</v>
      </c>
    </row>
    <row r="675" spans="1:10" x14ac:dyDescent="0.25">
      <c r="A675" s="3">
        <v>44487</v>
      </c>
      <c r="B675" s="6" t="s">
        <v>68</v>
      </c>
      <c r="C675" s="4" t="s">
        <v>3</v>
      </c>
      <c r="D675" s="5">
        <v>80.94</v>
      </c>
      <c r="E675" s="1">
        <v>6</v>
      </c>
      <c r="F675" s="1">
        <f>InputData[[#This Row],[UNIT PRICE ($)]]*InputData[[#This Row],[QUANTITY]]</f>
        <v>485.64</v>
      </c>
      <c r="G675" s="1" t="str">
        <f>VLOOKUP(InputData[[#This Row],[CUSTOMER NAME]],Country[#All],2,0)</f>
        <v>Russia</v>
      </c>
      <c r="H675" s="1" t="str">
        <f>VLOOKUP(InputData[[#This Row],[CUSTOMER NAME]],Country[#All],3,0)</f>
        <v>Export</v>
      </c>
      <c r="I675" s="1" t="str">
        <f>TEXT(InputData[[#This Row],[DATE]],"MMM")</f>
        <v>Oct</v>
      </c>
      <c r="J675" s="1">
        <f>WEEKNUM(InputData[[#This Row],[DATE]])</f>
        <v>43</v>
      </c>
    </row>
    <row r="676" spans="1:10" x14ac:dyDescent="0.25">
      <c r="A676" s="3">
        <v>44487</v>
      </c>
      <c r="B676" s="6" t="s">
        <v>110</v>
      </c>
      <c r="C676" s="4" t="s">
        <v>25</v>
      </c>
      <c r="D676" s="5">
        <v>8.33</v>
      </c>
      <c r="E676" s="1">
        <v>16</v>
      </c>
      <c r="F676" s="1">
        <f>InputData[[#This Row],[UNIT PRICE ($)]]*InputData[[#This Row],[QUANTITY]]</f>
        <v>133.28</v>
      </c>
      <c r="G676" s="1" t="str">
        <f>VLOOKUP(InputData[[#This Row],[CUSTOMER NAME]],Country[#All],2,0)</f>
        <v>India</v>
      </c>
      <c r="H676" s="1" t="str">
        <f>VLOOKUP(InputData[[#This Row],[CUSTOMER NAME]],Country[#All],3,0)</f>
        <v>Western</v>
      </c>
      <c r="I676" s="1" t="str">
        <f>TEXT(InputData[[#This Row],[DATE]],"MMM")</f>
        <v>Oct</v>
      </c>
      <c r="J676" s="1">
        <f>WEEKNUM(InputData[[#This Row],[DATE]])</f>
        <v>43</v>
      </c>
    </row>
    <row r="677" spans="1:10" x14ac:dyDescent="0.25">
      <c r="A677" s="3">
        <v>44487</v>
      </c>
      <c r="B677" s="6" t="s">
        <v>82</v>
      </c>
      <c r="C677" s="4" t="s">
        <v>25</v>
      </c>
      <c r="D677" s="5">
        <v>8.33</v>
      </c>
      <c r="E677" s="1">
        <v>6</v>
      </c>
      <c r="F677" s="1">
        <f>InputData[[#This Row],[UNIT PRICE ($)]]*InputData[[#This Row],[QUANTITY]]</f>
        <v>49.980000000000004</v>
      </c>
      <c r="G677" s="1" t="str">
        <f>VLOOKUP(InputData[[#This Row],[CUSTOMER NAME]],Country[#All],2,0)</f>
        <v>India</v>
      </c>
      <c r="H677" s="1" t="str">
        <f>VLOOKUP(InputData[[#This Row],[CUSTOMER NAME]],Country[#All],3,0)</f>
        <v>Western</v>
      </c>
      <c r="I677" s="1" t="str">
        <f>TEXT(InputData[[#This Row],[DATE]],"MMM")</f>
        <v>Oct</v>
      </c>
      <c r="J677" s="1">
        <f>WEEKNUM(InputData[[#This Row],[DATE]])</f>
        <v>43</v>
      </c>
    </row>
    <row r="678" spans="1:10" x14ac:dyDescent="0.25">
      <c r="A678" s="3">
        <v>44487</v>
      </c>
      <c r="B678" s="6" t="s">
        <v>82</v>
      </c>
      <c r="C678" s="4" t="s">
        <v>21</v>
      </c>
      <c r="D678" s="5">
        <v>162.54</v>
      </c>
      <c r="E678" s="1">
        <v>13</v>
      </c>
      <c r="F678" s="1">
        <f>InputData[[#This Row],[UNIT PRICE ($)]]*InputData[[#This Row],[QUANTITY]]</f>
        <v>2113.02</v>
      </c>
      <c r="G678" s="1" t="str">
        <f>VLOOKUP(InputData[[#This Row],[CUSTOMER NAME]],Country[#All],2,0)</f>
        <v>India</v>
      </c>
      <c r="H678" s="1" t="str">
        <f>VLOOKUP(InputData[[#This Row],[CUSTOMER NAME]],Country[#All],3,0)</f>
        <v>Western</v>
      </c>
      <c r="I678" s="1" t="str">
        <f>TEXT(InputData[[#This Row],[DATE]],"MMM")</f>
        <v>Oct</v>
      </c>
      <c r="J678" s="1">
        <f>WEEKNUM(InputData[[#This Row],[DATE]])</f>
        <v>43</v>
      </c>
    </row>
    <row r="679" spans="1:10" x14ac:dyDescent="0.25">
      <c r="A679" s="3">
        <v>44491</v>
      </c>
      <c r="B679" s="6" t="s">
        <v>63</v>
      </c>
      <c r="C679" s="4" t="s">
        <v>11</v>
      </c>
      <c r="D679" s="5">
        <v>48.4</v>
      </c>
      <c r="E679" s="1">
        <v>7</v>
      </c>
      <c r="F679" s="1">
        <f>InputData[[#This Row],[UNIT PRICE ($)]]*InputData[[#This Row],[QUANTITY]]</f>
        <v>338.8</v>
      </c>
      <c r="G679" s="1" t="str">
        <f>VLOOKUP(InputData[[#This Row],[CUSTOMER NAME]],Country[#All],2,0)</f>
        <v>Saudi Arabia</v>
      </c>
      <c r="H679" s="1" t="str">
        <f>VLOOKUP(InputData[[#This Row],[CUSTOMER NAME]],Country[#All],3,0)</f>
        <v>Export</v>
      </c>
      <c r="I679" s="1" t="str">
        <f>TEXT(InputData[[#This Row],[DATE]],"MMM")</f>
        <v>Oct</v>
      </c>
      <c r="J679" s="1">
        <f>WEEKNUM(InputData[[#This Row],[DATE]])</f>
        <v>43</v>
      </c>
    </row>
    <row r="680" spans="1:10" x14ac:dyDescent="0.25">
      <c r="A680" s="3">
        <v>44491</v>
      </c>
      <c r="B680" s="6" t="s">
        <v>65</v>
      </c>
      <c r="C680" s="4" t="s">
        <v>9</v>
      </c>
      <c r="D680" s="5">
        <v>7.8599999999999994</v>
      </c>
      <c r="E680" s="1">
        <v>1</v>
      </c>
      <c r="F680" s="1">
        <f>InputData[[#This Row],[UNIT PRICE ($)]]*InputData[[#This Row],[QUANTITY]]</f>
        <v>7.8599999999999994</v>
      </c>
      <c r="G680" s="1" t="str">
        <f>VLOOKUP(InputData[[#This Row],[CUSTOMER NAME]],Country[#All],2,0)</f>
        <v>Pakistan</v>
      </c>
      <c r="H680" s="1" t="str">
        <f>VLOOKUP(InputData[[#This Row],[CUSTOMER NAME]],Country[#All],3,0)</f>
        <v>Export</v>
      </c>
      <c r="I680" s="1" t="str">
        <f>TEXT(InputData[[#This Row],[DATE]],"MMM")</f>
        <v>Oct</v>
      </c>
      <c r="J680" s="1">
        <f>WEEKNUM(InputData[[#This Row],[DATE]])</f>
        <v>43</v>
      </c>
    </row>
    <row r="681" spans="1:10" x14ac:dyDescent="0.25">
      <c r="A681" s="3">
        <v>44491</v>
      </c>
      <c r="B681" s="6" t="s">
        <v>67</v>
      </c>
      <c r="C681" s="4" t="s">
        <v>24</v>
      </c>
      <c r="D681" s="5">
        <v>156.96</v>
      </c>
      <c r="E681" s="1">
        <v>13</v>
      </c>
      <c r="F681" s="1">
        <f>InputData[[#This Row],[UNIT PRICE ($)]]*InputData[[#This Row],[QUANTITY]]</f>
        <v>2040.48</v>
      </c>
      <c r="G681" s="1" t="str">
        <f>VLOOKUP(InputData[[#This Row],[CUSTOMER NAME]],Country[#All],2,0)</f>
        <v>United Kingdom</v>
      </c>
      <c r="H681" s="1" t="str">
        <f>VLOOKUP(InputData[[#This Row],[CUSTOMER NAME]],Country[#All],3,0)</f>
        <v>Export</v>
      </c>
      <c r="I681" s="1" t="str">
        <f>TEXT(InputData[[#This Row],[DATE]],"MMM")</f>
        <v>Oct</v>
      </c>
      <c r="J681" s="1">
        <f>WEEKNUM(InputData[[#This Row],[DATE]])</f>
        <v>43</v>
      </c>
    </row>
    <row r="682" spans="1:10" x14ac:dyDescent="0.25">
      <c r="A682" s="3">
        <v>44491</v>
      </c>
      <c r="B682" s="6" t="s">
        <v>70</v>
      </c>
      <c r="C682" s="4" t="s">
        <v>32</v>
      </c>
      <c r="D682" s="5">
        <v>117.48</v>
      </c>
      <c r="E682" s="1">
        <v>34</v>
      </c>
      <c r="F682" s="1">
        <f>InputData[[#This Row],[UNIT PRICE ($)]]*InputData[[#This Row],[QUANTITY]]</f>
        <v>3994.32</v>
      </c>
      <c r="G682" s="1" t="str">
        <f>VLOOKUP(InputData[[#This Row],[CUSTOMER NAME]],Country[#All],2,0)</f>
        <v>Mexico</v>
      </c>
      <c r="H682" s="1" t="str">
        <f>VLOOKUP(InputData[[#This Row],[CUSTOMER NAME]],Country[#All],3,0)</f>
        <v>Export</v>
      </c>
      <c r="I682" s="1" t="str">
        <f>TEXT(InputData[[#This Row],[DATE]],"MMM")</f>
        <v>Oct</v>
      </c>
      <c r="J682" s="1">
        <f>WEEKNUM(InputData[[#This Row],[DATE]])</f>
        <v>43</v>
      </c>
    </row>
    <row r="683" spans="1:10" x14ac:dyDescent="0.25">
      <c r="A683" s="3">
        <v>44491</v>
      </c>
      <c r="B683" s="6" t="s">
        <v>76</v>
      </c>
      <c r="C683" s="4" t="s">
        <v>39</v>
      </c>
      <c r="D683" s="5">
        <v>42.55</v>
      </c>
      <c r="E683" s="1">
        <v>24</v>
      </c>
      <c r="F683" s="1">
        <f>InputData[[#This Row],[UNIT PRICE ($)]]*InputData[[#This Row],[QUANTITY]]</f>
        <v>1021.1999999999999</v>
      </c>
      <c r="G683" s="1" t="str">
        <f>VLOOKUP(InputData[[#This Row],[CUSTOMER NAME]],Country[#All],2,0)</f>
        <v>Saudi Arabia</v>
      </c>
      <c r="H683" s="1" t="str">
        <f>VLOOKUP(InputData[[#This Row],[CUSTOMER NAME]],Country[#All],3,0)</f>
        <v>Export</v>
      </c>
      <c r="I683" s="1" t="str">
        <f>TEXT(InputData[[#This Row],[DATE]],"MMM")</f>
        <v>Oct</v>
      </c>
      <c r="J683" s="1">
        <f>WEEKNUM(InputData[[#This Row],[DATE]])</f>
        <v>43</v>
      </c>
    </row>
    <row r="684" spans="1:10" x14ac:dyDescent="0.25">
      <c r="A684" s="3">
        <v>44492</v>
      </c>
      <c r="B684" s="6" t="s">
        <v>81</v>
      </c>
      <c r="C684" s="4" t="s">
        <v>24</v>
      </c>
      <c r="D684" s="5">
        <v>156.96</v>
      </c>
      <c r="E684" s="1">
        <v>14</v>
      </c>
      <c r="F684" s="1">
        <f>InputData[[#This Row],[UNIT PRICE ($)]]*InputData[[#This Row],[QUANTITY]]</f>
        <v>2197.44</v>
      </c>
      <c r="G684" s="1" t="str">
        <f>VLOOKUP(InputData[[#This Row],[CUSTOMER NAME]],Country[#All],2,0)</f>
        <v>India</v>
      </c>
      <c r="H684" s="1" t="str">
        <f>VLOOKUP(InputData[[#This Row],[CUSTOMER NAME]],Country[#All],3,0)</f>
        <v>East</v>
      </c>
      <c r="I684" s="1" t="str">
        <f>TEXT(InputData[[#This Row],[DATE]],"MMM")</f>
        <v>Oct</v>
      </c>
      <c r="J684" s="1">
        <f>WEEKNUM(InputData[[#This Row],[DATE]])</f>
        <v>43</v>
      </c>
    </row>
    <row r="685" spans="1:10" x14ac:dyDescent="0.25">
      <c r="A685" s="3">
        <v>44493</v>
      </c>
      <c r="B685" s="6" t="s">
        <v>110</v>
      </c>
      <c r="C685" s="4" t="s">
        <v>36</v>
      </c>
      <c r="D685" s="5">
        <v>96.3</v>
      </c>
      <c r="E685" s="1">
        <v>22</v>
      </c>
      <c r="F685" s="1">
        <f>InputData[[#This Row],[UNIT PRICE ($)]]*InputData[[#This Row],[QUANTITY]]</f>
        <v>2118.6</v>
      </c>
      <c r="G685" s="1" t="str">
        <f>VLOOKUP(InputData[[#This Row],[CUSTOMER NAME]],Country[#All],2,0)</f>
        <v>India</v>
      </c>
      <c r="H685" s="1" t="str">
        <f>VLOOKUP(InputData[[#This Row],[CUSTOMER NAME]],Country[#All],3,0)</f>
        <v>Western</v>
      </c>
      <c r="I685" s="1" t="str">
        <f>TEXT(InputData[[#This Row],[DATE]],"MMM")</f>
        <v>Oct</v>
      </c>
      <c r="J685" s="1">
        <f>WEEKNUM(InputData[[#This Row],[DATE]])</f>
        <v>44</v>
      </c>
    </row>
    <row r="686" spans="1:10" x14ac:dyDescent="0.25">
      <c r="A686" s="3">
        <v>44493</v>
      </c>
      <c r="B686" s="6" t="s">
        <v>82</v>
      </c>
      <c r="C686" s="4" t="s">
        <v>11</v>
      </c>
      <c r="D686" s="5">
        <v>48.4</v>
      </c>
      <c r="E686" s="1">
        <v>3</v>
      </c>
      <c r="F686" s="1">
        <f>InputData[[#This Row],[UNIT PRICE ($)]]*InputData[[#This Row],[QUANTITY]]</f>
        <v>145.19999999999999</v>
      </c>
      <c r="G686" s="1" t="str">
        <f>VLOOKUP(InputData[[#This Row],[CUSTOMER NAME]],Country[#All],2,0)</f>
        <v>India</v>
      </c>
      <c r="H686" s="1" t="str">
        <f>VLOOKUP(InputData[[#This Row],[CUSTOMER NAME]],Country[#All],3,0)</f>
        <v>Western</v>
      </c>
      <c r="I686" s="1" t="str">
        <f>TEXT(InputData[[#This Row],[DATE]],"MMM")</f>
        <v>Oct</v>
      </c>
      <c r="J686" s="1">
        <f>WEEKNUM(InputData[[#This Row],[DATE]])</f>
        <v>44</v>
      </c>
    </row>
    <row r="687" spans="1:10" x14ac:dyDescent="0.25">
      <c r="A687" s="3">
        <v>44493</v>
      </c>
      <c r="B687" s="6" t="s">
        <v>82</v>
      </c>
      <c r="C687" s="4" t="s">
        <v>25</v>
      </c>
      <c r="D687" s="5">
        <v>8.33</v>
      </c>
      <c r="E687" s="1">
        <v>21</v>
      </c>
      <c r="F687" s="1">
        <f>InputData[[#This Row],[UNIT PRICE ($)]]*InputData[[#This Row],[QUANTITY]]</f>
        <v>174.93</v>
      </c>
      <c r="G687" s="1" t="str">
        <f>VLOOKUP(InputData[[#This Row],[CUSTOMER NAME]],Country[#All],2,0)</f>
        <v>India</v>
      </c>
      <c r="H687" s="1" t="str">
        <f>VLOOKUP(InputData[[#This Row],[CUSTOMER NAME]],Country[#All],3,0)</f>
        <v>Western</v>
      </c>
      <c r="I687" s="1" t="str">
        <f>TEXT(InputData[[#This Row],[DATE]],"MMM")</f>
        <v>Oct</v>
      </c>
      <c r="J687" s="1">
        <f>WEEKNUM(InputData[[#This Row],[DATE]])</f>
        <v>44</v>
      </c>
    </row>
    <row r="688" spans="1:10" x14ac:dyDescent="0.25">
      <c r="A688" s="3">
        <v>44493</v>
      </c>
      <c r="B688" s="6" t="s">
        <v>117</v>
      </c>
      <c r="C688" s="4" t="s">
        <v>33</v>
      </c>
      <c r="D688" s="5">
        <v>119.7</v>
      </c>
      <c r="E688" s="1">
        <v>4</v>
      </c>
      <c r="F688" s="1">
        <f>InputData[[#This Row],[UNIT PRICE ($)]]*InputData[[#This Row],[QUANTITY]]</f>
        <v>478.8</v>
      </c>
      <c r="G688" s="1" t="str">
        <f>VLOOKUP(InputData[[#This Row],[CUSTOMER NAME]],Country[#All],2,0)</f>
        <v>United States of America</v>
      </c>
      <c r="H688" s="1" t="str">
        <f>VLOOKUP(InputData[[#This Row],[CUSTOMER NAME]],Country[#All],3,0)</f>
        <v>Export</v>
      </c>
      <c r="I688" s="1" t="str">
        <f>TEXT(InputData[[#This Row],[DATE]],"MMM")</f>
        <v>Oct</v>
      </c>
      <c r="J688" s="1">
        <f>WEEKNUM(InputData[[#This Row],[DATE]])</f>
        <v>44</v>
      </c>
    </row>
    <row r="689" spans="1:10" x14ac:dyDescent="0.25">
      <c r="A689" s="3">
        <v>44494</v>
      </c>
      <c r="B689" s="6" t="s">
        <v>74</v>
      </c>
      <c r="C689" s="4" t="s">
        <v>44</v>
      </c>
      <c r="D689" s="5">
        <v>82.08</v>
      </c>
      <c r="E689" s="1">
        <v>9</v>
      </c>
      <c r="F689" s="1">
        <f>InputData[[#This Row],[UNIT PRICE ($)]]*InputData[[#This Row],[QUANTITY]]</f>
        <v>738.72</v>
      </c>
      <c r="G689" s="1" t="str">
        <f>VLOOKUP(InputData[[#This Row],[CUSTOMER NAME]],Country[#All],2,0)</f>
        <v>Brazil</v>
      </c>
      <c r="H689" s="1" t="str">
        <f>VLOOKUP(InputData[[#This Row],[CUSTOMER NAME]],Country[#All],3,0)</f>
        <v>Export</v>
      </c>
      <c r="I689" s="1" t="str">
        <f>TEXT(InputData[[#This Row],[DATE]],"MMM")</f>
        <v>Oct</v>
      </c>
      <c r="J689" s="1">
        <f>WEEKNUM(InputData[[#This Row],[DATE]])</f>
        <v>44</v>
      </c>
    </row>
    <row r="690" spans="1:10" x14ac:dyDescent="0.25">
      <c r="A690" s="3">
        <v>44494</v>
      </c>
      <c r="B690" s="6" t="s">
        <v>81</v>
      </c>
      <c r="C690" s="4" t="s">
        <v>1</v>
      </c>
      <c r="D690" s="5">
        <v>103.88</v>
      </c>
      <c r="E690" s="1">
        <v>18</v>
      </c>
      <c r="F690" s="1">
        <f>InputData[[#This Row],[UNIT PRICE ($)]]*InputData[[#This Row],[QUANTITY]]</f>
        <v>1869.84</v>
      </c>
      <c r="G690" s="1" t="str">
        <f>VLOOKUP(InputData[[#This Row],[CUSTOMER NAME]],Country[#All],2,0)</f>
        <v>India</v>
      </c>
      <c r="H690" s="1" t="str">
        <f>VLOOKUP(InputData[[#This Row],[CUSTOMER NAME]],Country[#All],3,0)</f>
        <v>East</v>
      </c>
      <c r="I690" s="1" t="str">
        <f>TEXT(InputData[[#This Row],[DATE]],"MMM")</f>
        <v>Oct</v>
      </c>
      <c r="J690" s="1">
        <f>WEEKNUM(InputData[[#This Row],[DATE]])</f>
        <v>44</v>
      </c>
    </row>
    <row r="691" spans="1:10" x14ac:dyDescent="0.25">
      <c r="A691" s="3">
        <v>44495</v>
      </c>
      <c r="B691" s="6" t="s">
        <v>66</v>
      </c>
      <c r="C691" s="4" t="s">
        <v>4</v>
      </c>
      <c r="D691" s="5">
        <v>48.84</v>
      </c>
      <c r="E691" s="1">
        <v>6</v>
      </c>
      <c r="F691" s="1">
        <f>InputData[[#This Row],[UNIT PRICE ($)]]*InputData[[#This Row],[QUANTITY]]</f>
        <v>293.04000000000002</v>
      </c>
      <c r="G691" s="1" t="str">
        <f>VLOOKUP(InputData[[#This Row],[CUSTOMER NAME]],Country[#All],2,0)</f>
        <v>Indonesia</v>
      </c>
      <c r="H691" s="1" t="str">
        <f>VLOOKUP(InputData[[#This Row],[CUSTOMER NAME]],Country[#All],3,0)</f>
        <v>Export</v>
      </c>
      <c r="I691" s="1" t="str">
        <f>TEXT(InputData[[#This Row],[DATE]],"MMM")</f>
        <v>Oct</v>
      </c>
      <c r="J691" s="1">
        <f>WEEKNUM(InputData[[#This Row],[DATE]])</f>
        <v>44</v>
      </c>
    </row>
    <row r="692" spans="1:10" x14ac:dyDescent="0.25">
      <c r="A692" s="3">
        <v>44497</v>
      </c>
      <c r="B692" s="6" t="s">
        <v>114</v>
      </c>
      <c r="C692" s="4" t="s">
        <v>8</v>
      </c>
      <c r="D692" s="5">
        <v>94.62</v>
      </c>
      <c r="E692" s="1">
        <v>1</v>
      </c>
      <c r="F692" s="1">
        <f>InputData[[#This Row],[UNIT PRICE ($)]]*InputData[[#This Row],[QUANTITY]]</f>
        <v>94.62</v>
      </c>
      <c r="G692" s="1" t="str">
        <f>VLOOKUP(InputData[[#This Row],[CUSTOMER NAME]],Country[#All],2,0)</f>
        <v>United States of America</v>
      </c>
      <c r="H692" s="1" t="str">
        <f>VLOOKUP(InputData[[#This Row],[CUSTOMER NAME]],Country[#All],3,0)</f>
        <v>Export</v>
      </c>
      <c r="I692" s="1" t="str">
        <f>TEXT(InputData[[#This Row],[DATE]],"MMM")</f>
        <v>Oct</v>
      </c>
      <c r="J692" s="1">
        <f>WEEKNUM(InputData[[#This Row],[DATE]])</f>
        <v>44</v>
      </c>
    </row>
    <row r="693" spans="1:10" x14ac:dyDescent="0.25">
      <c r="A693" s="3">
        <v>44497</v>
      </c>
      <c r="B693" s="6" t="s">
        <v>84</v>
      </c>
      <c r="C693" s="4" t="s">
        <v>35</v>
      </c>
      <c r="D693" s="5">
        <v>6.7</v>
      </c>
      <c r="E693" s="1">
        <v>39</v>
      </c>
      <c r="F693" s="1">
        <f>InputData[[#This Row],[UNIT PRICE ($)]]*InputData[[#This Row],[QUANTITY]]</f>
        <v>261.3</v>
      </c>
      <c r="G693" s="1" t="str">
        <f>VLOOKUP(InputData[[#This Row],[CUSTOMER NAME]],Country[#All],2,0)</f>
        <v>Ethiopia</v>
      </c>
      <c r="H693" s="1" t="str">
        <f>VLOOKUP(InputData[[#This Row],[CUSTOMER NAME]],Country[#All],3,0)</f>
        <v>Export</v>
      </c>
      <c r="I693" s="1" t="str">
        <f>TEXT(InputData[[#This Row],[DATE]],"MMM")</f>
        <v>Oct</v>
      </c>
      <c r="J693" s="1">
        <f>WEEKNUM(InputData[[#This Row],[DATE]])</f>
        <v>44</v>
      </c>
    </row>
    <row r="694" spans="1:10" x14ac:dyDescent="0.25">
      <c r="A694" s="3">
        <v>44498</v>
      </c>
      <c r="B694" s="6" t="s">
        <v>69</v>
      </c>
      <c r="C694" s="4" t="s">
        <v>2</v>
      </c>
      <c r="D694" s="5">
        <v>142.80000000000001</v>
      </c>
      <c r="E694" s="1">
        <v>23</v>
      </c>
      <c r="F694" s="1">
        <f>InputData[[#This Row],[UNIT PRICE ($)]]*InputData[[#This Row],[QUANTITY]]</f>
        <v>3284.4</v>
      </c>
      <c r="G694" s="1" t="str">
        <f>VLOOKUP(InputData[[#This Row],[CUSTOMER NAME]],Country[#All],2,0)</f>
        <v>India</v>
      </c>
      <c r="H694" s="1" t="str">
        <f>VLOOKUP(InputData[[#This Row],[CUSTOMER NAME]],Country[#All],3,0)</f>
        <v>South</v>
      </c>
      <c r="I694" s="1" t="str">
        <f>TEXT(InputData[[#This Row],[DATE]],"MMM")</f>
        <v>Oct</v>
      </c>
      <c r="J694" s="1">
        <f>WEEKNUM(InputData[[#This Row],[DATE]])</f>
        <v>44</v>
      </c>
    </row>
    <row r="695" spans="1:10" x14ac:dyDescent="0.25">
      <c r="A695" s="3">
        <v>44498</v>
      </c>
      <c r="B695" s="6" t="s">
        <v>73</v>
      </c>
      <c r="C695" s="4" t="s">
        <v>38</v>
      </c>
      <c r="D695" s="5">
        <v>79.92</v>
      </c>
      <c r="E695" s="1">
        <v>14</v>
      </c>
      <c r="F695" s="1">
        <f>InputData[[#This Row],[UNIT PRICE ($)]]*InputData[[#This Row],[QUANTITY]]</f>
        <v>1118.8800000000001</v>
      </c>
      <c r="G695" s="1" t="str">
        <f>VLOOKUP(InputData[[#This Row],[CUSTOMER NAME]],Country[#All],2,0)</f>
        <v>India</v>
      </c>
      <c r="H695" s="1" t="str">
        <f>VLOOKUP(InputData[[#This Row],[CUSTOMER NAME]],Country[#All],3,0)</f>
        <v>East</v>
      </c>
      <c r="I695" s="1" t="str">
        <f>TEXT(InputData[[#This Row],[DATE]],"MMM")</f>
        <v>Oct</v>
      </c>
      <c r="J695" s="1">
        <f>WEEKNUM(InputData[[#This Row],[DATE]])</f>
        <v>44</v>
      </c>
    </row>
    <row r="696" spans="1:10" x14ac:dyDescent="0.25">
      <c r="A696" s="3">
        <v>44499</v>
      </c>
      <c r="B696" s="6" t="s">
        <v>60</v>
      </c>
      <c r="C696" s="4" t="s">
        <v>30</v>
      </c>
      <c r="D696" s="5">
        <v>201.28</v>
      </c>
      <c r="E696" s="1">
        <v>30</v>
      </c>
      <c r="F696" s="1">
        <f>InputData[[#This Row],[UNIT PRICE ($)]]*InputData[[#This Row],[QUANTITY]]</f>
        <v>6038.4</v>
      </c>
      <c r="G696" s="1" t="str">
        <f>VLOOKUP(InputData[[#This Row],[CUSTOMER NAME]],Country[#All],2,0)</f>
        <v>Nigeria</v>
      </c>
      <c r="H696" s="1" t="str">
        <f>VLOOKUP(InputData[[#This Row],[CUSTOMER NAME]],Country[#All],3,0)</f>
        <v>Export</v>
      </c>
      <c r="I696" s="1" t="str">
        <f>TEXT(InputData[[#This Row],[DATE]],"MMM")</f>
        <v>Oct</v>
      </c>
      <c r="J696" s="1">
        <f>WEEKNUM(InputData[[#This Row],[DATE]])</f>
        <v>44</v>
      </c>
    </row>
    <row r="697" spans="1:10" x14ac:dyDescent="0.25">
      <c r="A697" s="3">
        <v>44499</v>
      </c>
      <c r="B697" s="6" t="s">
        <v>74</v>
      </c>
      <c r="C697" s="4" t="s">
        <v>25</v>
      </c>
      <c r="D697" s="5">
        <v>8.33</v>
      </c>
      <c r="E697" s="1">
        <v>37</v>
      </c>
      <c r="F697" s="1">
        <f>InputData[[#This Row],[UNIT PRICE ($)]]*InputData[[#This Row],[QUANTITY]]</f>
        <v>308.20999999999998</v>
      </c>
      <c r="G697" s="1" t="str">
        <f>VLOOKUP(InputData[[#This Row],[CUSTOMER NAME]],Country[#All],2,0)</f>
        <v>Brazil</v>
      </c>
      <c r="H697" s="1" t="str">
        <f>VLOOKUP(InputData[[#This Row],[CUSTOMER NAME]],Country[#All],3,0)</f>
        <v>Export</v>
      </c>
      <c r="I697" s="1" t="str">
        <f>TEXT(InputData[[#This Row],[DATE]],"MMM")</f>
        <v>Oct</v>
      </c>
      <c r="J697" s="1">
        <f>WEEKNUM(InputData[[#This Row],[DATE]])</f>
        <v>44</v>
      </c>
    </row>
    <row r="698" spans="1:10" x14ac:dyDescent="0.25">
      <c r="A698" s="3">
        <v>44499</v>
      </c>
      <c r="B698" s="6" t="s">
        <v>75</v>
      </c>
      <c r="C698" s="4" t="s">
        <v>42</v>
      </c>
      <c r="D698" s="5">
        <v>162</v>
      </c>
      <c r="E698" s="1">
        <v>3</v>
      </c>
      <c r="F698" s="1">
        <f>InputData[[#This Row],[UNIT PRICE ($)]]*InputData[[#This Row],[QUANTITY]]</f>
        <v>486</v>
      </c>
      <c r="G698" s="1" t="str">
        <f>VLOOKUP(InputData[[#This Row],[CUSTOMER NAME]],Country[#All],2,0)</f>
        <v>Russia</v>
      </c>
      <c r="H698" s="1" t="str">
        <f>VLOOKUP(InputData[[#This Row],[CUSTOMER NAME]],Country[#All],3,0)</f>
        <v>Export</v>
      </c>
      <c r="I698" s="1" t="str">
        <f>TEXT(InputData[[#This Row],[DATE]],"MMM")</f>
        <v>Oct</v>
      </c>
      <c r="J698" s="1">
        <f>WEEKNUM(InputData[[#This Row],[DATE]])</f>
        <v>44</v>
      </c>
    </row>
    <row r="699" spans="1:10" x14ac:dyDescent="0.25">
      <c r="A699" s="3">
        <v>44499</v>
      </c>
      <c r="B699" s="6" t="s">
        <v>85</v>
      </c>
      <c r="C699" s="4" t="s">
        <v>9</v>
      </c>
      <c r="D699" s="5">
        <v>7.8599999999999994</v>
      </c>
      <c r="E699" s="1">
        <v>6</v>
      </c>
      <c r="F699" s="1">
        <f>InputData[[#This Row],[UNIT PRICE ($)]]*InputData[[#This Row],[QUANTITY]]</f>
        <v>47.16</v>
      </c>
      <c r="G699" s="1" t="str">
        <f>VLOOKUP(InputData[[#This Row],[CUSTOMER NAME]],Country[#All],2,0)</f>
        <v>India</v>
      </c>
      <c r="H699" s="1" t="str">
        <f>VLOOKUP(InputData[[#This Row],[CUSTOMER NAME]],Country[#All],3,0)</f>
        <v>Northeast</v>
      </c>
      <c r="I699" s="1" t="str">
        <f>TEXT(InputData[[#This Row],[DATE]],"MMM")</f>
        <v>Oct</v>
      </c>
      <c r="J699" s="1">
        <f>WEEKNUM(InputData[[#This Row],[DATE]])</f>
        <v>44</v>
      </c>
    </row>
    <row r="700" spans="1:10" x14ac:dyDescent="0.25">
      <c r="A700" s="3">
        <v>44500</v>
      </c>
      <c r="B700" s="6" t="s">
        <v>60</v>
      </c>
      <c r="C700" s="4" t="s">
        <v>38</v>
      </c>
      <c r="D700" s="5">
        <v>79.92</v>
      </c>
      <c r="E700" s="1">
        <v>8</v>
      </c>
      <c r="F700" s="1">
        <f>InputData[[#This Row],[UNIT PRICE ($)]]*InputData[[#This Row],[QUANTITY]]</f>
        <v>639.36</v>
      </c>
      <c r="G700" s="1" t="str">
        <f>VLOOKUP(InputData[[#This Row],[CUSTOMER NAME]],Country[#All],2,0)</f>
        <v>Nigeria</v>
      </c>
      <c r="H700" s="1" t="str">
        <f>VLOOKUP(InputData[[#This Row],[CUSTOMER NAME]],Country[#All],3,0)</f>
        <v>Export</v>
      </c>
      <c r="I700" s="1" t="str">
        <f>TEXT(InputData[[#This Row],[DATE]],"MMM")</f>
        <v>Oct</v>
      </c>
      <c r="J700" s="1">
        <f>WEEKNUM(InputData[[#This Row],[DATE]])</f>
        <v>45</v>
      </c>
    </row>
    <row r="701" spans="1:10" x14ac:dyDescent="0.25">
      <c r="A701" s="3">
        <v>44500</v>
      </c>
      <c r="B701" s="6" t="s">
        <v>66</v>
      </c>
      <c r="C701" s="4" t="s">
        <v>21</v>
      </c>
      <c r="D701" s="5">
        <v>162.54</v>
      </c>
      <c r="E701" s="1">
        <v>6</v>
      </c>
      <c r="F701" s="1">
        <f>InputData[[#This Row],[UNIT PRICE ($)]]*InputData[[#This Row],[QUANTITY]]</f>
        <v>975.24</v>
      </c>
      <c r="G701" s="1" t="str">
        <f>VLOOKUP(InputData[[#This Row],[CUSTOMER NAME]],Country[#All],2,0)</f>
        <v>Indonesia</v>
      </c>
      <c r="H701" s="1" t="str">
        <f>VLOOKUP(InputData[[#This Row],[CUSTOMER NAME]],Country[#All],3,0)</f>
        <v>Export</v>
      </c>
      <c r="I701" s="1" t="str">
        <f>TEXT(InputData[[#This Row],[DATE]],"MMM")</f>
        <v>Oct</v>
      </c>
      <c r="J701" s="1">
        <f>WEEKNUM(InputData[[#This Row],[DATE]])</f>
        <v>45</v>
      </c>
    </row>
    <row r="702" spans="1:10" x14ac:dyDescent="0.25">
      <c r="A702" s="3">
        <v>44501</v>
      </c>
      <c r="B702" s="6" t="s">
        <v>64</v>
      </c>
      <c r="C702" s="4" t="s">
        <v>12</v>
      </c>
      <c r="D702" s="5">
        <v>94.17</v>
      </c>
      <c r="E702" s="1">
        <v>15</v>
      </c>
      <c r="F702" s="1">
        <f>InputData[[#This Row],[UNIT PRICE ($)]]*InputData[[#This Row],[QUANTITY]]</f>
        <v>1412.55</v>
      </c>
      <c r="G702" s="1" t="str">
        <f>VLOOKUP(InputData[[#This Row],[CUSTOMER NAME]],Country[#All],2,0)</f>
        <v>India</v>
      </c>
      <c r="H702" s="1" t="str">
        <f>VLOOKUP(InputData[[#This Row],[CUSTOMER NAME]],Country[#All],3,0)</f>
        <v>Northeast</v>
      </c>
      <c r="I702" s="1" t="str">
        <f>TEXT(InputData[[#This Row],[DATE]],"MMM")</f>
        <v>Nov</v>
      </c>
      <c r="J702" s="1">
        <f>WEEKNUM(InputData[[#This Row],[DATE]])</f>
        <v>45</v>
      </c>
    </row>
    <row r="703" spans="1:10" x14ac:dyDescent="0.25">
      <c r="A703" s="3">
        <v>44502</v>
      </c>
      <c r="B703" s="6" t="s">
        <v>73</v>
      </c>
      <c r="C703" s="4" t="s">
        <v>15</v>
      </c>
      <c r="D703" s="5">
        <v>15.719999999999999</v>
      </c>
      <c r="E703" s="1">
        <v>15</v>
      </c>
      <c r="F703" s="1">
        <f>InputData[[#This Row],[UNIT PRICE ($)]]*InputData[[#This Row],[QUANTITY]]</f>
        <v>235.79999999999998</v>
      </c>
      <c r="G703" s="1" t="str">
        <f>VLOOKUP(InputData[[#This Row],[CUSTOMER NAME]],Country[#All],2,0)</f>
        <v>India</v>
      </c>
      <c r="H703" s="1" t="str">
        <f>VLOOKUP(InputData[[#This Row],[CUSTOMER NAME]],Country[#All],3,0)</f>
        <v>East</v>
      </c>
      <c r="I703" s="1" t="str">
        <f>TEXT(InputData[[#This Row],[DATE]],"MMM")</f>
        <v>Nov</v>
      </c>
      <c r="J703" s="1">
        <f>WEEKNUM(InputData[[#This Row],[DATE]])</f>
        <v>45</v>
      </c>
    </row>
    <row r="704" spans="1:10" x14ac:dyDescent="0.25">
      <c r="A704" s="3">
        <v>44502</v>
      </c>
      <c r="B704" s="6" t="s">
        <v>81</v>
      </c>
      <c r="C704" s="4" t="s">
        <v>35</v>
      </c>
      <c r="D704" s="5">
        <v>6.7</v>
      </c>
      <c r="E704" s="1">
        <v>5</v>
      </c>
      <c r="F704" s="1">
        <f>InputData[[#This Row],[UNIT PRICE ($)]]*InputData[[#This Row],[QUANTITY]]</f>
        <v>33.5</v>
      </c>
      <c r="G704" s="1" t="str">
        <f>VLOOKUP(InputData[[#This Row],[CUSTOMER NAME]],Country[#All],2,0)</f>
        <v>India</v>
      </c>
      <c r="H704" s="1" t="str">
        <f>VLOOKUP(InputData[[#This Row],[CUSTOMER NAME]],Country[#All],3,0)</f>
        <v>East</v>
      </c>
      <c r="I704" s="1" t="str">
        <f>TEXT(InputData[[#This Row],[DATE]],"MMM")</f>
        <v>Nov</v>
      </c>
      <c r="J704" s="1">
        <f>WEEKNUM(InputData[[#This Row],[DATE]])</f>
        <v>45</v>
      </c>
    </row>
    <row r="705" spans="1:10" x14ac:dyDescent="0.25">
      <c r="A705" s="3">
        <v>44502</v>
      </c>
      <c r="B705" s="6" t="s">
        <v>82</v>
      </c>
      <c r="C705" s="4" t="s">
        <v>30</v>
      </c>
      <c r="D705" s="5">
        <v>201.28</v>
      </c>
      <c r="E705" s="1">
        <v>15</v>
      </c>
      <c r="F705" s="1">
        <f>InputData[[#This Row],[UNIT PRICE ($)]]*InputData[[#This Row],[QUANTITY]]</f>
        <v>3019.2</v>
      </c>
      <c r="G705" s="1" t="str">
        <f>VLOOKUP(InputData[[#This Row],[CUSTOMER NAME]],Country[#All],2,0)</f>
        <v>India</v>
      </c>
      <c r="H705" s="1" t="str">
        <f>VLOOKUP(InputData[[#This Row],[CUSTOMER NAME]],Country[#All],3,0)</f>
        <v>Western</v>
      </c>
      <c r="I705" s="1" t="str">
        <f>TEXT(InputData[[#This Row],[DATE]],"MMM")</f>
        <v>Nov</v>
      </c>
      <c r="J705" s="1">
        <f>WEEKNUM(InputData[[#This Row],[DATE]])</f>
        <v>45</v>
      </c>
    </row>
    <row r="706" spans="1:10" x14ac:dyDescent="0.25">
      <c r="A706" s="3">
        <v>44503</v>
      </c>
      <c r="B706" s="6" t="s">
        <v>65</v>
      </c>
      <c r="C706" s="4" t="s">
        <v>20</v>
      </c>
      <c r="D706" s="5">
        <v>76.25</v>
      </c>
      <c r="E706" s="1">
        <v>11</v>
      </c>
      <c r="F706" s="1">
        <f>InputData[[#This Row],[UNIT PRICE ($)]]*InputData[[#This Row],[QUANTITY]]</f>
        <v>838.75</v>
      </c>
      <c r="G706" s="1" t="str">
        <f>VLOOKUP(InputData[[#This Row],[CUSTOMER NAME]],Country[#All],2,0)</f>
        <v>Pakistan</v>
      </c>
      <c r="H706" s="1" t="str">
        <f>VLOOKUP(InputData[[#This Row],[CUSTOMER NAME]],Country[#All],3,0)</f>
        <v>Export</v>
      </c>
      <c r="I706" s="1" t="str">
        <f>TEXT(InputData[[#This Row],[DATE]],"MMM")</f>
        <v>Nov</v>
      </c>
      <c r="J706" s="1">
        <f>WEEKNUM(InputData[[#This Row],[DATE]])</f>
        <v>45</v>
      </c>
    </row>
    <row r="707" spans="1:10" x14ac:dyDescent="0.25">
      <c r="A707" s="3">
        <v>44503</v>
      </c>
      <c r="B707" s="6" t="s">
        <v>79</v>
      </c>
      <c r="C707" s="4" t="s">
        <v>13</v>
      </c>
      <c r="D707" s="5">
        <v>122.08</v>
      </c>
      <c r="E707" s="1">
        <v>12</v>
      </c>
      <c r="F707" s="1">
        <f>InputData[[#This Row],[UNIT PRICE ($)]]*InputData[[#This Row],[QUANTITY]]</f>
        <v>1464.96</v>
      </c>
      <c r="G707" s="1" t="str">
        <f>VLOOKUP(InputData[[#This Row],[CUSTOMER NAME]],Country[#All],2,0)</f>
        <v>United Kingdom</v>
      </c>
      <c r="H707" s="1" t="str">
        <f>VLOOKUP(InputData[[#This Row],[CUSTOMER NAME]],Country[#All],3,0)</f>
        <v>Export</v>
      </c>
      <c r="I707" s="1" t="str">
        <f>TEXT(InputData[[#This Row],[DATE]],"MMM")</f>
        <v>Nov</v>
      </c>
      <c r="J707" s="1">
        <f>WEEKNUM(InputData[[#This Row],[DATE]])</f>
        <v>45</v>
      </c>
    </row>
    <row r="708" spans="1:10" x14ac:dyDescent="0.25">
      <c r="A708" s="3">
        <v>44504</v>
      </c>
      <c r="B708" s="6" t="s">
        <v>69</v>
      </c>
      <c r="C708" s="4" t="s">
        <v>8</v>
      </c>
      <c r="D708" s="5">
        <v>94.62</v>
      </c>
      <c r="E708" s="1">
        <v>10</v>
      </c>
      <c r="F708" s="1">
        <f>InputData[[#This Row],[UNIT PRICE ($)]]*InputData[[#This Row],[QUANTITY]]</f>
        <v>946.2</v>
      </c>
      <c r="G708" s="1" t="str">
        <f>VLOOKUP(InputData[[#This Row],[CUSTOMER NAME]],Country[#All],2,0)</f>
        <v>India</v>
      </c>
      <c r="H708" s="1" t="str">
        <f>VLOOKUP(InputData[[#This Row],[CUSTOMER NAME]],Country[#All],3,0)</f>
        <v>South</v>
      </c>
      <c r="I708" s="1" t="str">
        <f>TEXT(InputData[[#This Row],[DATE]],"MMM")</f>
        <v>Nov</v>
      </c>
      <c r="J708" s="1">
        <f>WEEKNUM(InputData[[#This Row],[DATE]])</f>
        <v>45</v>
      </c>
    </row>
    <row r="709" spans="1:10" x14ac:dyDescent="0.25">
      <c r="A709" s="3">
        <v>44505</v>
      </c>
      <c r="B709" s="6" t="s">
        <v>73</v>
      </c>
      <c r="C709" s="4" t="s">
        <v>19</v>
      </c>
      <c r="D709" s="5">
        <v>210</v>
      </c>
      <c r="E709" s="1">
        <v>15</v>
      </c>
      <c r="F709" s="1">
        <f>InputData[[#This Row],[UNIT PRICE ($)]]*InputData[[#This Row],[QUANTITY]]</f>
        <v>3150</v>
      </c>
      <c r="G709" s="1" t="str">
        <f>VLOOKUP(InputData[[#This Row],[CUSTOMER NAME]],Country[#All],2,0)</f>
        <v>India</v>
      </c>
      <c r="H709" s="1" t="str">
        <f>VLOOKUP(InputData[[#This Row],[CUSTOMER NAME]],Country[#All],3,0)</f>
        <v>East</v>
      </c>
      <c r="I709" s="1" t="str">
        <f>TEXT(InputData[[#This Row],[DATE]],"MMM")</f>
        <v>Nov</v>
      </c>
      <c r="J709" s="1">
        <f>WEEKNUM(InputData[[#This Row],[DATE]])</f>
        <v>45</v>
      </c>
    </row>
    <row r="710" spans="1:10" x14ac:dyDescent="0.25">
      <c r="A710" s="3">
        <v>44506</v>
      </c>
      <c r="B710" s="6" t="s">
        <v>60</v>
      </c>
      <c r="C710" s="4" t="s">
        <v>43</v>
      </c>
      <c r="D710" s="5">
        <v>83.08</v>
      </c>
      <c r="E710" s="1">
        <v>13</v>
      </c>
      <c r="F710" s="1">
        <f>InputData[[#This Row],[UNIT PRICE ($)]]*InputData[[#This Row],[QUANTITY]]</f>
        <v>1080.04</v>
      </c>
      <c r="G710" s="1" t="str">
        <f>VLOOKUP(InputData[[#This Row],[CUSTOMER NAME]],Country[#All],2,0)</f>
        <v>Nigeria</v>
      </c>
      <c r="H710" s="1" t="str">
        <f>VLOOKUP(InputData[[#This Row],[CUSTOMER NAME]],Country[#All],3,0)</f>
        <v>Export</v>
      </c>
      <c r="I710" s="1" t="str">
        <f>TEXT(InputData[[#This Row],[DATE]],"MMM")</f>
        <v>Nov</v>
      </c>
      <c r="J710" s="1">
        <f>WEEKNUM(InputData[[#This Row],[DATE]])</f>
        <v>45</v>
      </c>
    </row>
    <row r="711" spans="1:10" x14ac:dyDescent="0.25">
      <c r="A711" s="3">
        <v>44506</v>
      </c>
      <c r="B711" s="6" t="s">
        <v>64</v>
      </c>
      <c r="C711" s="4" t="s">
        <v>42</v>
      </c>
      <c r="D711" s="5">
        <v>162</v>
      </c>
      <c r="E711" s="1">
        <v>13</v>
      </c>
      <c r="F711" s="1">
        <f>InputData[[#This Row],[UNIT PRICE ($)]]*InputData[[#This Row],[QUANTITY]]</f>
        <v>2106</v>
      </c>
      <c r="G711" s="1" t="str">
        <f>VLOOKUP(InputData[[#This Row],[CUSTOMER NAME]],Country[#All],2,0)</f>
        <v>India</v>
      </c>
      <c r="H711" s="1" t="str">
        <f>VLOOKUP(InputData[[#This Row],[CUSTOMER NAME]],Country[#All],3,0)</f>
        <v>Northeast</v>
      </c>
      <c r="I711" s="1" t="str">
        <f>TEXT(InputData[[#This Row],[DATE]],"MMM")</f>
        <v>Nov</v>
      </c>
      <c r="J711" s="1">
        <f>WEEKNUM(InputData[[#This Row],[DATE]])</f>
        <v>45</v>
      </c>
    </row>
    <row r="712" spans="1:10" x14ac:dyDescent="0.25">
      <c r="A712" s="3">
        <v>44506</v>
      </c>
      <c r="B712" s="6" t="s">
        <v>77</v>
      </c>
      <c r="C712" s="4" t="s">
        <v>36</v>
      </c>
      <c r="D712" s="5">
        <v>96.3</v>
      </c>
      <c r="E712" s="1">
        <v>10</v>
      </c>
      <c r="F712" s="1">
        <f>InputData[[#This Row],[UNIT PRICE ($)]]*InputData[[#This Row],[QUANTITY]]</f>
        <v>963</v>
      </c>
      <c r="G712" s="1" t="str">
        <f>VLOOKUP(InputData[[#This Row],[CUSTOMER NAME]],Country[#All],2,0)</f>
        <v>India</v>
      </c>
      <c r="H712" s="1" t="str">
        <f>VLOOKUP(InputData[[#This Row],[CUSTOMER NAME]],Country[#All],3,0)</f>
        <v>Western</v>
      </c>
      <c r="I712" s="1" t="str">
        <f>TEXT(InputData[[#This Row],[DATE]],"MMM")</f>
        <v>Nov</v>
      </c>
      <c r="J712" s="1">
        <f>WEEKNUM(InputData[[#This Row],[DATE]])</f>
        <v>45</v>
      </c>
    </row>
    <row r="713" spans="1:10" x14ac:dyDescent="0.25">
      <c r="A713" s="3">
        <v>44506</v>
      </c>
      <c r="B713" s="6" t="s">
        <v>80</v>
      </c>
      <c r="C713" s="4" t="s">
        <v>15</v>
      </c>
      <c r="D713" s="5">
        <v>15.719999999999999</v>
      </c>
      <c r="E713" s="1">
        <v>13</v>
      </c>
      <c r="F713" s="1">
        <f>InputData[[#This Row],[UNIT PRICE ($)]]*InputData[[#This Row],[QUANTITY]]</f>
        <v>204.35999999999999</v>
      </c>
      <c r="G713" s="1" t="str">
        <f>VLOOKUP(InputData[[#This Row],[CUSTOMER NAME]],Country[#All],2,0)</f>
        <v>South Africa</v>
      </c>
      <c r="H713" s="1" t="str">
        <f>VLOOKUP(InputData[[#This Row],[CUSTOMER NAME]],Country[#All],3,0)</f>
        <v>Export</v>
      </c>
      <c r="I713" s="1" t="str">
        <f>TEXT(InputData[[#This Row],[DATE]],"MMM")</f>
        <v>Nov</v>
      </c>
      <c r="J713" s="1">
        <f>WEEKNUM(InputData[[#This Row],[DATE]])</f>
        <v>45</v>
      </c>
    </row>
    <row r="714" spans="1:10" x14ac:dyDescent="0.25">
      <c r="A714" s="3">
        <v>44507</v>
      </c>
      <c r="B714" s="6" t="s">
        <v>73</v>
      </c>
      <c r="C714" s="4" t="s">
        <v>30</v>
      </c>
      <c r="D714" s="5">
        <v>201.28</v>
      </c>
      <c r="E714" s="1">
        <v>11</v>
      </c>
      <c r="F714" s="1">
        <f>InputData[[#This Row],[UNIT PRICE ($)]]*InputData[[#This Row],[QUANTITY]]</f>
        <v>2214.08</v>
      </c>
      <c r="G714" s="1" t="str">
        <f>VLOOKUP(InputData[[#This Row],[CUSTOMER NAME]],Country[#All],2,0)</f>
        <v>India</v>
      </c>
      <c r="H714" s="1" t="str">
        <f>VLOOKUP(InputData[[#This Row],[CUSTOMER NAME]],Country[#All],3,0)</f>
        <v>East</v>
      </c>
      <c r="I714" s="1" t="str">
        <f>TEXT(InputData[[#This Row],[DATE]],"MMM")</f>
        <v>Nov</v>
      </c>
      <c r="J714" s="1">
        <f>WEEKNUM(InputData[[#This Row],[DATE]])</f>
        <v>46</v>
      </c>
    </row>
    <row r="715" spans="1:10" x14ac:dyDescent="0.25">
      <c r="A715" s="3">
        <v>44507</v>
      </c>
      <c r="B715" s="6" t="s">
        <v>114</v>
      </c>
      <c r="C715" s="4" t="s">
        <v>5</v>
      </c>
      <c r="D715" s="5">
        <v>155.61000000000001</v>
      </c>
      <c r="E715" s="1">
        <v>3</v>
      </c>
      <c r="F715" s="1">
        <f>InputData[[#This Row],[UNIT PRICE ($)]]*InputData[[#This Row],[QUANTITY]]</f>
        <v>466.83000000000004</v>
      </c>
      <c r="G715" s="1" t="str">
        <f>VLOOKUP(InputData[[#This Row],[CUSTOMER NAME]],Country[#All],2,0)</f>
        <v>United States of America</v>
      </c>
      <c r="H715" s="1" t="str">
        <f>VLOOKUP(InputData[[#This Row],[CUSTOMER NAME]],Country[#All],3,0)</f>
        <v>Export</v>
      </c>
      <c r="I715" s="1" t="str">
        <f>TEXT(InputData[[#This Row],[DATE]],"MMM")</f>
        <v>Nov</v>
      </c>
      <c r="J715" s="1">
        <f>WEEKNUM(InputData[[#This Row],[DATE]])</f>
        <v>46</v>
      </c>
    </row>
    <row r="716" spans="1:10" x14ac:dyDescent="0.25">
      <c r="A716" s="3">
        <v>44507</v>
      </c>
      <c r="B716" s="6" t="s">
        <v>88</v>
      </c>
      <c r="C716" s="4" t="s">
        <v>40</v>
      </c>
      <c r="D716" s="5">
        <v>115.2</v>
      </c>
      <c r="E716" s="1">
        <v>13</v>
      </c>
      <c r="F716" s="1">
        <f>InputData[[#This Row],[UNIT PRICE ($)]]*InputData[[#This Row],[QUANTITY]]</f>
        <v>1497.6000000000001</v>
      </c>
      <c r="G716" s="1" t="str">
        <f>VLOOKUP(InputData[[#This Row],[CUSTOMER NAME]],Country[#All],2,0)</f>
        <v>India</v>
      </c>
      <c r="H716" s="1" t="str">
        <f>VLOOKUP(InputData[[#This Row],[CUSTOMER NAME]],Country[#All],3,0)</f>
        <v>South</v>
      </c>
      <c r="I716" s="1" t="str">
        <f>TEXT(InputData[[#This Row],[DATE]],"MMM")</f>
        <v>Nov</v>
      </c>
      <c r="J716" s="1">
        <f>WEEKNUM(InputData[[#This Row],[DATE]])</f>
        <v>46</v>
      </c>
    </row>
    <row r="717" spans="1:10" x14ac:dyDescent="0.25">
      <c r="A717" s="3">
        <v>44508</v>
      </c>
      <c r="B717" s="6" t="s">
        <v>110</v>
      </c>
      <c r="C717" s="4" t="s">
        <v>7</v>
      </c>
      <c r="D717" s="5">
        <v>47.730000000000004</v>
      </c>
      <c r="E717" s="1">
        <v>15</v>
      </c>
      <c r="F717" s="1">
        <f>InputData[[#This Row],[UNIT PRICE ($)]]*InputData[[#This Row],[QUANTITY]]</f>
        <v>715.95</v>
      </c>
      <c r="G717" s="1" t="str">
        <f>VLOOKUP(InputData[[#This Row],[CUSTOMER NAME]],Country[#All],2,0)</f>
        <v>India</v>
      </c>
      <c r="H717" s="1" t="str">
        <f>VLOOKUP(InputData[[#This Row],[CUSTOMER NAME]],Country[#All],3,0)</f>
        <v>Western</v>
      </c>
      <c r="I717" s="1" t="str">
        <f>TEXT(InputData[[#This Row],[DATE]],"MMM")</f>
        <v>Nov</v>
      </c>
      <c r="J717" s="1">
        <f>WEEKNUM(InputData[[#This Row],[DATE]])</f>
        <v>46</v>
      </c>
    </row>
    <row r="718" spans="1:10" x14ac:dyDescent="0.25">
      <c r="A718" s="3">
        <v>44508</v>
      </c>
      <c r="B718" s="6" t="s">
        <v>72</v>
      </c>
      <c r="C718" s="4" t="s">
        <v>36</v>
      </c>
      <c r="D718" s="5">
        <v>96.3</v>
      </c>
      <c r="E718" s="1">
        <v>11</v>
      </c>
      <c r="F718" s="1">
        <f>InputData[[#This Row],[UNIT PRICE ($)]]*InputData[[#This Row],[QUANTITY]]</f>
        <v>1059.3</v>
      </c>
      <c r="G718" s="1" t="str">
        <f>VLOOKUP(InputData[[#This Row],[CUSTOMER NAME]],Country[#All],2,0)</f>
        <v>Brazil</v>
      </c>
      <c r="H718" s="1" t="str">
        <f>VLOOKUP(InputData[[#This Row],[CUSTOMER NAME]],Country[#All],3,0)</f>
        <v>Export</v>
      </c>
      <c r="I718" s="1" t="str">
        <f>TEXT(InputData[[#This Row],[DATE]],"MMM")</f>
        <v>Nov</v>
      </c>
      <c r="J718" s="1">
        <f>WEEKNUM(InputData[[#This Row],[DATE]])</f>
        <v>46</v>
      </c>
    </row>
    <row r="719" spans="1:10" x14ac:dyDescent="0.25">
      <c r="A719" s="3">
        <v>44508</v>
      </c>
      <c r="B719" s="6" t="s">
        <v>79</v>
      </c>
      <c r="C719" s="4" t="s">
        <v>19</v>
      </c>
      <c r="D719" s="5">
        <v>210</v>
      </c>
      <c r="E719" s="1">
        <v>10</v>
      </c>
      <c r="F719" s="1">
        <f>InputData[[#This Row],[UNIT PRICE ($)]]*InputData[[#This Row],[QUANTITY]]</f>
        <v>2100</v>
      </c>
      <c r="G719" s="1" t="str">
        <f>VLOOKUP(InputData[[#This Row],[CUSTOMER NAME]],Country[#All],2,0)</f>
        <v>United Kingdom</v>
      </c>
      <c r="H719" s="1" t="str">
        <f>VLOOKUP(InputData[[#This Row],[CUSTOMER NAME]],Country[#All],3,0)</f>
        <v>Export</v>
      </c>
      <c r="I719" s="1" t="str">
        <f>TEXT(InputData[[#This Row],[DATE]],"MMM")</f>
        <v>Nov</v>
      </c>
      <c r="J719" s="1">
        <f>WEEKNUM(InputData[[#This Row],[DATE]])</f>
        <v>46</v>
      </c>
    </row>
    <row r="720" spans="1:10" x14ac:dyDescent="0.25">
      <c r="A720" s="3">
        <v>44508</v>
      </c>
      <c r="B720" s="6" t="s">
        <v>84</v>
      </c>
      <c r="C720" s="4" t="s">
        <v>18</v>
      </c>
      <c r="D720" s="5">
        <v>49.21</v>
      </c>
      <c r="E720" s="1">
        <v>26</v>
      </c>
      <c r="F720" s="1">
        <f>InputData[[#This Row],[UNIT PRICE ($)]]*InputData[[#This Row],[QUANTITY]]</f>
        <v>1279.46</v>
      </c>
      <c r="G720" s="1" t="str">
        <f>VLOOKUP(InputData[[#This Row],[CUSTOMER NAME]],Country[#All],2,0)</f>
        <v>Ethiopia</v>
      </c>
      <c r="H720" s="1" t="str">
        <f>VLOOKUP(InputData[[#This Row],[CUSTOMER NAME]],Country[#All],3,0)</f>
        <v>Export</v>
      </c>
      <c r="I720" s="1" t="str">
        <f>TEXT(InputData[[#This Row],[DATE]],"MMM")</f>
        <v>Nov</v>
      </c>
      <c r="J720" s="1">
        <f>WEEKNUM(InputData[[#This Row],[DATE]])</f>
        <v>46</v>
      </c>
    </row>
    <row r="721" spans="1:10" x14ac:dyDescent="0.25">
      <c r="A721" s="3">
        <v>44508</v>
      </c>
      <c r="B721" s="6" t="s">
        <v>85</v>
      </c>
      <c r="C721" s="4" t="s">
        <v>12</v>
      </c>
      <c r="D721" s="5">
        <v>94.17</v>
      </c>
      <c r="E721" s="1">
        <v>10</v>
      </c>
      <c r="F721" s="1">
        <f>InputData[[#This Row],[UNIT PRICE ($)]]*InputData[[#This Row],[QUANTITY]]</f>
        <v>941.7</v>
      </c>
      <c r="G721" s="1" t="str">
        <f>VLOOKUP(InputData[[#This Row],[CUSTOMER NAME]],Country[#All],2,0)</f>
        <v>India</v>
      </c>
      <c r="H721" s="1" t="str">
        <f>VLOOKUP(InputData[[#This Row],[CUSTOMER NAME]],Country[#All],3,0)</f>
        <v>Northeast</v>
      </c>
      <c r="I721" s="1" t="str">
        <f>TEXT(InputData[[#This Row],[DATE]],"MMM")</f>
        <v>Nov</v>
      </c>
      <c r="J721" s="1">
        <f>WEEKNUM(InputData[[#This Row],[DATE]])</f>
        <v>46</v>
      </c>
    </row>
    <row r="722" spans="1:10" x14ac:dyDescent="0.25">
      <c r="A722" s="3">
        <v>44509</v>
      </c>
      <c r="B722" s="6" t="s">
        <v>80</v>
      </c>
      <c r="C722" s="4" t="s">
        <v>11</v>
      </c>
      <c r="D722" s="5">
        <v>48.4</v>
      </c>
      <c r="E722" s="1">
        <v>6</v>
      </c>
      <c r="F722" s="1">
        <f>InputData[[#This Row],[UNIT PRICE ($)]]*InputData[[#This Row],[QUANTITY]]</f>
        <v>290.39999999999998</v>
      </c>
      <c r="G722" s="1" t="str">
        <f>VLOOKUP(InputData[[#This Row],[CUSTOMER NAME]],Country[#All],2,0)</f>
        <v>South Africa</v>
      </c>
      <c r="H722" s="1" t="str">
        <f>VLOOKUP(InputData[[#This Row],[CUSTOMER NAME]],Country[#All],3,0)</f>
        <v>Export</v>
      </c>
      <c r="I722" s="1" t="str">
        <f>TEXT(InputData[[#This Row],[DATE]],"MMM")</f>
        <v>Nov</v>
      </c>
      <c r="J722" s="1">
        <f>WEEKNUM(InputData[[#This Row],[DATE]])</f>
        <v>46</v>
      </c>
    </row>
    <row r="723" spans="1:10" x14ac:dyDescent="0.25">
      <c r="A723" s="3">
        <v>44509</v>
      </c>
      <c r="B723" s="6" t="s">
        <v>80</v>
      </c>
      <c r="C723" s="4" t="s">
        <v>27</v>
      </c>
      <c r="D723" s="5">
        <v>57.120000000000005</v>
      </c>
      <c r="E723" s="1">
        <v>8</v>
      </c>
      <c r="F723" s="1">
        <f>InputData[[#This Row],[UNIT PRICE ($)]]*InputData[[#This Row],[QUANTITY]]</f>
        <v>456.96000000000004</v>
      </c>
      <c r="G723" s="1" t="str">
        <f>VLOOKUP(InputData[[#This Row],[CUSTOMER NAME]],Country[#All],2,0)</f>
        <v>South Africa</v>
      </c>
      <c r="H723" s="1" t="str">
        <f>VLOOKUP(InputData[[#This Row],[CUSTOMER NAME]],Country[#All],3,0)</f>
        <v>Export</v>
      </c>
      <c r="I723" s="1" t="str">
        <f>TEXT(InputData[[#This Row],[DATE]],"MMM")</f>
        <v>Nov</v>
      </c>
      <c r="J723" s="1">
        <f>WEEKNUM(InputData[[#This Row],[DATE]])</f>
        <v>46</v>
      </c>
    </row>
    <row r="724" spans="1:10" x14ac:dyDescent="0.25">
      <c r="A724" s="3">
        <v>44510</v>
      </c>
      <c r="B724" s="6" t="s">
        <v>63</v>
      </c>
      <c r="C724" s="4" t="s">
        <v>18</v>
      </c>
      <c r="D724" s="5">
        <v>49.21</v>
      </c>
      <c r="E724" s="1">
        <v>7</v>
      </c>
      <c r="F724" s="1">
        <f>InputData[[#This Row],[UNIT PRICE ($)]]*InputData[[#This Row],[QUANTITY]]</f>
        <v>344.47</v>
      </c>
      <c r="G724" s="1" t="str">
        <f>VLOOKUP(InputData[[#This Row],[CUSTOMER NAME]],Country[#All],2,0)</f>
        <v>Saudi Arabia</v>
      </c>
      <c r="H724" s="1" t="str">
        <f>VLOOKUP(InputData[[#This Row],[CUSTOMER NAME]],Country[#All],3,0)</f>
        <v>Export</v>
      </c>
      <c r="I724" s="1" t="str">
        <f>TEXT(InputData[[#This Row],[DATE]],"MMM")</f>
        <v>Nov</v>
      </c>
      <c r="J724" s="1">
        <f>WEEKNUM(InputData[[#This Row],[DATE]])</f>
        <v>46</v>
      </c>
    </row>
    <row r="725" spans="1:10" x14ac:dyDescent="0.25">
      <c r="A725" s="3">
        <v>44510</v>
      </c>
      <c r="B725" s="6" t="s">
        <v>67</v>
      </c>
      <c r="C725" s="4" t="s">
        <v>42</v>
      </c>
      <c r="D725" s="5">
        <v>162</v>
      </c>
      <c r="E725" s="1">
        <v>6</v>
      </c>
      <c r="F725" s="1">
        <f>InputData[[#This Row],[UNIT PRICE ($)]]*InputData[[#This Row],[QUANTITY]]</f>
        <v>972</v>
      </c>
      <c r="G725" s="1" t="str">
        <f>VLOOKUP(InputData[[#This Row],[CUSTOMER NAME]],Country[#All],2,0)</f>
        <v>United Kingdom</v>
      </c>
      <c r="H725" s="1" t="str">
        <f>VLOOKUP(InputData[[#This Row],[CUSTOMER NAME]],Country[#All],3,0)</f>
        <v>Export</v>
      </c>
      <c r="I725" s="1" t="str">
        <f>TEXT(InputData[[#This Row],[DATE]],"MMM")</f>
        <v>Nov</v>
      </c>
      <c r="J725" s="1">
        <f>WEEKNUM(InputData[[#This Row],[DATE]])</f>
        <v>46</v>
      </c>
    </row>
    <row r="726" spans="1:10" x14ac:dyDescent="0.25">
      <c r="A726" s="3">
        <v>44511</v>
      </c>
      <c r="B726" s="6" t="s">
        <v>112</v>
      </c>
      <c r="C726" s="4" t="s">
        <v>40</v>
      </c>
      <c r="D726" s="5">
        <v>115.2</v>
      </c>
      <c r="E726" s="1">
        <v>12</v>
      </c>
      <c r="F726" s="1">
        <f>InputData[[#This Row],[UNIT PRICE ($)]]*InputData[[#This Row],[QUANTITY]]</f>
        <v>1382.4</v>
      </c>
      <c r="G726" s="1" t="str">
        <f>VLOOKUP(InputData[[#This Row],[CUSTOMER NAME]],Country[#All],2,0)</f>
        <v>India</v>
      </c>
      <c r="H726" s="1" t="str">
        <f>VLOOKUP(InputData[[#This Row],[CUSTOMER NAME]],Country[#All],3,0)</f>
        <v>North</v>
      </c>
      <c r="I726" s="1" t="str">
        <f>TEXT(InputData[[#This Row],[DATE]],"MMM")</f>
        <v>Nov</v>
      </c>
      <c r="J726" s="1">
        <f>WEEKNUM(InputData[[#This Row],[DATE]])</f>
        <v>46</v>
      </c>
    </row>
    <row r="727" spans="1:10" x14ac:dyDescent="0.25">
      <c r="A727" s="3">
        <v>44511</v>
      </c>
      <c r="B727" s="6" t="s">
        <v>84</v>
      </c>
      <c r="C727" s="4" t="s">
        <v>38</v>
      </c>
      <c r="D727" s="5">
        <v>79.92</v>
      </c>
      <c r="E727" s="1">
        <v>16</v>
      </c>
      <c r="F727" s="1">
        <f>InputData[[#This Row],[UNIT PRICE ($)]]*InputData[[#This Row],[QUANTITY]]</f>
        <v>1278.72</v>
      </c>
      <c r="G727" s="1" t="str">
        <f>VLOOKUP(InputData[[#This Row],[CUSTOMER NAME]],Country[#All],2,0)</f>
        <v>Ethiopia</v>
      </c>
      <c r="H727" s="1" t="str">
        <f>VLOOKUP(InputData[[#This Row],[CUSTOMER NAME]],Country[#All],3,0)</f>
        <v>Export</v>
      </c>
      <c r="I727" s="1" t="str">
        <f>TEXT(InputData[[#This Row],[DATE]],"MMM")</f>
        <v>Nov</v>
      </c>
      <c r="J727" s="1">
        <f>WEEKNUM(InputData[[#This Row],[DATE]])</f>
        <v>46</v>
      </c>
    </row>
    <row r="728" spans="1:10" x14ac:dyDescent="0.25">
      <c r="A728" s="3">
        <v>44512</v>
      </c>
      <c r="B728" s="6" t="s">
        <v>61</v>
      </c>
      <c r="C728" s="4" t="s">
        <v>35</v>
      </c>
      <c r="D728" s="5">
        <v>6.7</v>
      </c>
      <c r="E728" s="1">
        <v>6</v>
      </c>
      <c r="F728" s="1">
        <f>InputData[[#This Row],[UNIT PRICE ($)]]*InputData[[#This Row],[QUANTITY]]</f>
        <v>40.200000000000003</v>
      </c>
      <c r="G728" s="1" t="str">
        <f>VLOOKUP(InputData[[#This Row],[CUSTOMER NAME]],Country[#All],2,0)</f>
        <v>Bangladesh</v>
      </c>
      <c r="H728" s="1" t="str">
        <f>VLOOKUP(InputData[[#This Row],[CUSTOMER NAME]],Country[#All],3,0)</f>
        <v>Export</v>
      </c>
      <c r="I728" s="1" t="str">
        <f>TEXT(InputData[[#This Row],[DATE]],"MMM")</f>
        <v>Nov</v>
      </c>
      <c r="J728" s="1">
        <f>WEEKNUM(InputData[[#This Row],[DATE]])</f>
        <v>46</v>
      </c>
    </row>
    <row r="729" spans="1:10" x14ac:dyDescent="0.25">
      <c r="A729" s="3">
        <v>44512</v>
      </c>
      <c r="B729" s="6" t="s">
        <v>85</v>
      </c>
      <c r="C729" s="4" t="s">
        <v>10</v>
      </c>
      <c r="D729" s="5">
        <v>164.28</v>
      </c>
      <c r="E729" s="1">
        <v>3</v>
      </c>
      <c r="F729" s="1">
        <f>InputData[[#This Row],[UNIT PRICE ($)]]*InputData[[#This Row],[QUANTITY]]</f>
        <v>492.84000000000003</v>
      </c>
      <c r="G729" s="1" t="str">
        <f>VLOOKUP(InputData[[#This Row],[CUSTOMER NAME]],Country[#All],2,0)</f>
        <v>India</v>
      </c>
      <c r="H729" s="1" t="str">
        <f>VLOOKUP(InputData[[#This Row],[CUSTOMER NAME]],Country[#All],3,0)</f>
        <v>Northeast</v>
      </c>
      <c r="I729" s="1" t="str">
        <f>TEXT(InputData[[#This Row],[DATE]],"MMM")</f>
        <v>Nov</v>
      </c>
      <c r="J729" s="1">
        <f>WEEKNUM(InputData[[#This Row],[DATE]])</f>
        <v>46</v>
      </c>
    </row>
    <row r="730" spans="1:10" x14ac:dyDescent="0.25">
      <c r="A730" s="3">
        <v>44513</v>
      </c>
      <c r="B730" s="6" t="s">
        <v>72</v>
      </c>
      <c r="C730" s="4" t="s">
        <v>27</v>
      </c>
      <c r="D730" s="5">
        <v>57.120000000000005</v>
      </c>
      <c r="E730" s="1">
        <v>10</v>
      </c>
      <c r="F730" s="1">
        <f>InputData[[#This Row],[UNIT PRICE ($)]]*InputData[[#This Row],[QUANTITY]]</f>
        <v>571.20000000000005</v>
      </c>
      <c r="G730" s="1" t="str">
        <f>VLOOKUP(InputData[[#This Row],[CUSTOMER NAME]],Country[#All],2,0)</f>
        <v>Brazil</v>
      </c>
      <c r="H730" s="1" t="str">
        <f>VLOOKUP(InputData[[#This Row],[CUSTOMER NAME]],Country[#All],3,0)</f>
        <v>Export</v>
      </c>
      <c r="I730" s="1" t="str">
        <f>TEXT(InputData[[#This Row],[DATE]],"MMM")</f>
        <v>Nov</v>
      </c>
      <c r="J730" s="1">
        <f>WEEKNUM(InputData[[#This Row],[DATE]])</f>
        <v>46</v>
      </c>
    </row>
    <row r="731" spans="1:10" x14ac:dyDescent="0.25">
      <c r="A731" s="3">
        <v>44514</v>
      </c>
      <c r="B731" s="6" t="s">
        <v>69</v>
      </c>
      <c r="C731" s="4" t="s">
        <v>2</v>
      </c>
      <c r="D731" s="5">
        <v>142.80000000000001</v>
      </c>
      <c r="E731" s="1">
        <v>1</v>
      </c>
      <c r="F731" s="1">
        <f>InputData[[#This Row],[UNIT PRICE ($)]]*InputData[[#This Row],[QUANTITY]]</f>
        <v>142.80000000000001</v>
      </c>
      <c r="G731" s="1" t="str">
        <f>VLOOKUP(InputData[[#This Row],[CUSTOMER NAME]],Country[#All],2,0)</f>
        <v>India</v>
      </c>
      <c r="H731" s="1" t="str">
        <f>VLOOKUP(InputData[[#This Row],[CUSTOMER NAME]],Country[#All],3,0)</f>
        <v>South</v>
      </c>
      <c r="I731" s="1" t="str">
        <f>TEXT(InputData[[#This Row],[DATE]],"MMM")</f>
        <v>Nov</v>
      </c>
      <c r="J731" s="1">
        <f>WEEKNUM(InputData[[#This Row],[DATE]])</f>
        <v>47</v>
      </c>
    </row>
    <row r="732" spans="1:10" x14ac:dyDescent="0.25">
      <c r="A732" s="3">
        <v>44515</v>
      </c>
      <c r="B732" s="6" t="s">
        <v>60</v>
      </c>
      <c r="C732" s="4" t="s">
        <v>27</v>
      </c>
      <c r="D732" s="5">
        <v>57.120000000000005</v>
      </c>
      <c r="E732" s="1">
        <v>36</v>
      </c>
      <c r="F732" s="1">
        <f>InputData[[#This Row],[UNIT PRICE ($)]]*InputData[[#This Row],[QUANTITY]]</f>
        <v>2056.3200000000002</v>
      </c>
      <c r="G732" s="1" t="str">
        <f>VLOOKUP(InputData[[#This Row],[CUSTOMER NAME]],Country[#All],2,0)</f>
        <v>Nigeria</v>
      </c>
      <c r="H732" s="1" t="str">
        <f>VLOOKUP(InputData[[#This Row],[CUSTOMER NAME]],Country[#All],3,0)</f>
        <v>Export</v>
      </c>
      <c r="I732" s="1" t="str">
        <f>TEXT(InputData[[#This Row],[DATE]],"MMM")</f>
        <v>Nov</v>
      </c>
      <c r="J732" s="1">
        <f>WEEKNUM(InputData[[#This Row],[DATE]])</f>
        <v>47</v>
      </c>
    </row>
    <row r="733" spans="1:10" x14ac:dyDescent="0.25">
      <c r="A733" s="3">
        <v>44515</v>
      </c>
      <c r="B733" s="6" t="s">
        <v>81</v>
      </c>
      <c r="C733" s="4" t="s">
        <v>12</v>
      </c>
      <c r="D733" s="5">
        <v>94.17</v>
      </c>
      <c r="E733" s="1">
        <v>14</v>
      </c>
      <c r="F733" s="1">
        <f>InputData[[#This Row],[UNIT PRICE ($)]]*InputData[[#This Row],[QUANTITY]]</f>
        <v>1318.38</v>
      </c>
      <c r="G733" s="1" t="str">
        <f>VLOOKUP(InputData[[#This Row],[CUSTOMER NAME]],Country[#All],2,0)</f>
        <v>India</v>
      </c>
      <c r="H733" s="1" t="str">
        <f>VLOOKUP(InputData[[#This Row],[CUSTOMER NAME]],Country[#All],3,0)</f>
        <v>East</v>
      </c>
      <c r="I733" s="1" t="str">
        <f>TEXT(InputData[[#This Row],[DATE]],"MMM")</f>
        <v>Nov</v>
      </c>
      <c r="J733" s="1">
        <f>WEEKNUM(InputData[[#This Row],[DATE]])</f>
        <v>47</v>
      </c>
    </row>
    <row r="734" spans="1:10" x14ac:dyDescent="0.25">
      <c r="A734" s="3">
        <v>44516</v>
      </c>
      <c r="B734" s="6" t="s">
        <v>81</v>
      </c>
      <c r="C734" s="4" t="s">
        <v>17</v>
      </c>
      <c r="D734" s="5">
        <v>156.78</v>
      </c>
      <c r="E734" s="1">
        <v>8</v>
      </c>
      <c r="F734" s="1">
        <f>InputData[[#This Row],[UNIT PRICE ($)]]*InputData[[#This Row],[QUANTITY]]</f>
        <v>1254.24</v>
      </c>
      <c r="G734" s="1" t="str">
        <f>VLOOKUP(InputData[[#This Row],[CUSTOMER NAME]],Country[#All],2,0)</f>
        <v>India</v>
      </c>
      <c r="H734" s="1" t="str">
        <f>VLOOKUP(InputData[[#This Row],[CUSTOMER NAME]],Country[#All],3,0)</f>
        <v>East</v>
      </c>
      <c r="I734" s="1" t="str">
        <f>TEXT(InputData[[#This Row],[DATE]],"MMM")</f>
        <v>Nov</v>
      </c>
      <c r="J734" s="1">
        <f>WEEKNUM(InputData[[#This Row],[DATE]])</f>
        <v>47</v>
      </c>
    </row>
    <row r="735" spans="1:10" x14ac:dyDescent="0.25">
      <c r="A735" s="3">
        <v>44517</v>
      </c>
      <c r="B735" s="6" t="s">
        <v>108</v>
      </c>
      <c r="C735" s="4" t="s">
        <v>38</v>
      </c>
      <c r="D735" s="5">
        <v>79.92</v>
      </c>
      <c r="E735" s="1">
        <v>33</v>
      </c>
      <c r="F735" s="1">
        <f>InputData[[#This Row],[UNIT PRICE ($)]]*InputData[[#This Row],[QUANTITY]]</f>
        <v>2637.36</v>
      </c>
      <c r="G735" s="1" t="str">
        <f>VLOOKUP(InputData[[#This Row],[CUSTOMER NAME]],Country[#All],2,0)</f>
        <v>India</v>
      </c>
      <c r="H735" s="1" t="str">
        <f>VLOOKUP(InputData[[#This Row],[CUSTOMER NAME]],Country[#All],3,0)</f>
        <v>North</v>
      </c>
      <c r="I735" s="1" t="str">
        <f>TEXT(InputData[[#This Row],[DATE]],"MMM")</f>
        <v>Nov</v>
      </c>
      <c r="J735" s="1">
        <f>WEEKNUM(InputData[[#This Row],[DATE]])</f>
        <v>47</v>
      </c>
    </row>
    <row r="736" spans="1:10" x14ac:dyDescent="0.25">
      <c r="A736" s="3">
        <v>44518</v>
      </c>
      <c r="B736" s="6" t="s">
        <v>65</v>
      </c>
      <c r="C736" s="4" t="s">
        <v>44</v>
      </c>
      <c r="D736" s="5">
        <v>82.08</v>
      </c>
      <c r="E736" s="1">
        <v>18</v>
      </c>
      <c r="F736" s="1">
        <f>InputData[[#This Row],[UNIT PRICE ($)]]*InputData[[#This Row],[QUANTITY]]</f>
        <v>1477.44</v>
      </c>
      <c r="G736" s="1" t="str">
        <f>VLOOKUP(InputData[[#This Row],[CUSTOMER NAME]],Country[#All],2,0)</f>
        <v>Pakistan</v>
      </c>
      <c r="H736" s="1" t="str">
        <f>VLOOKUP(InputData[[#This Row],[CUSTOMER NAME]],Country[#All],3,0)</f>
        <v>Export</v>
      </c>
      <c r="I736" s="1" t="str">
        <f>TEXT(InputData[[#This Row],[DATE]],"MMM")</f>
        <v>Nov</v>
      </c>
      <c r="J736" s="1">
        <f>WEEKNUM(InputData[[#This Row],[DATE]])</f>
        <v>47</v>
      </c>
    </row>
    <row r="737" spans="1:10" x14ac:dyDescent="0.25">
      <c r="A737" s="3">
        <v>44518</v>
      </c>
      <c r="B737" s="6" t="s">
        <v>80</v>
      </c>
      <c r="C737" s="4" t="s">
        <v>34</v>
      </c>
      <c r="D737" s="5">
        <v>58.3</v>
      </c>
      <c r="E737" s="1">
        <v>8</v>
      </c>
      <c r="F737" s="1">
        <f>InputData[[#This Row],[UNIT PRICE ($)]]*InputData[[#This Row],[QUANTITY]]</f>
        <v>466.4</v>
      </c>
      <c r="G737" s="1" t="str">
        <f>VLOOKUP(InputData[[#This Row],[CUSTOMER NAME]],Country[#All],2,0)</f>
        <v>South Africa</v>
      </c>
      <c r="H737" s="1" t="str">
        <f>VLOOKUP(InputData[[#This Row],[CUSTOMER NAME]],Country[#All],3,0)</f>
        <v>Export</v>
      </c>
      <c r="I737" s="1" t="str">
        <f>TEXT(InputData[[#This Row],[DATE]],"MMM")</f>
        <v>Nov</v>
      </c>
      <c r="J737" s="1">
        <f>WEEKNUM(InputData[[#This Row],[DATE]])</f>
        <v>47</v>
      </c>
    </row>
    <row r="738" spans="1:10" x14ac:dyDescent="0.25">
      <c r="A738" s="3">
        <v>44518</v>
      </c>
      <c r="B738" s="6" t="s">
        <v>115</v>
      </c>
      <c r="C738" s="4" t="s">
        <v>39</v>
      </c>
      <c r="D738" s="5">
        <v>42.55</v>
      </c>
      <c r="E738" s="1">
        <v>4</v>
      </c>
      <c r="F738" s="1">
        <f>InputData[[#This Row],[UNIT PRICE ($)]]*InputData[[#This Row],[QUANTITY]]</f>
        <v>170.2</v>
      </c>
      <c r="G738" s="1" t="str">
        <f>VLOOKUP(InputData[[#This Row],[CUSTOMER NAME]],Country[#All],2,0)</f>
        <v>India</v>
      </c>
      <c r="H738" s="1" t="str">
        <f>VLOOKUP(InputData[[#This Row],[CUSTOMER NAME]],Country[#All],3,0)</f>
        <v>Northeast</v>
      </c>
      <c r="I738" s="1" t="str">
        <f>TEXT(InputData[[#This Row],[DATE]],"MMM")</f>
        <v>Nov</v>
      </c>
      <c r="J738" s="1">
        <f>WEEKNUM(InputData[[#This Row],[DATE]])</f>
        <v>47</v>
      </c>
    </row>
    <row r="739" spans="1:10" x14ac:dyDescent="0.25">
      <c r="A739" s="3">
        <v>44519</v>
      </c>
      <c r="B739" s="6" t="s">
        <v>87</v>
      </c>
      <c r="C739" s="4" t="s">
        <v>18</v>
      </c>
      <c r="D739" s="5">
        <v>49.21</v>
      </c>
      <c r="E739" s="1">
        <v>4</v>
      </c>
      <c r="F739" s="1">
        <f>InputData[[#This Row],[UNIT PRICE ($)]]*InputData[[#This Row],[QUANTITY]]</f>
        <v>196.84</v>
      </c>
      <c r="G739" s="1" t="str">
        <f>VLOOKUP(InputData[[#This Row],[CUSTOMER NAME]],Country[#All],2,0)</f>
        <v>France</v>
      </c>
      <c r="H739" s="1" t="str">
        <f>VLOOKUP(InputData[[#This Row],[CUSTOMER NAME]],Country[#All],3,0)</f>
        <v>Export</v>
      </c>
      <c r="I739" s="1" t="str">
        <f>TEXT(InputData[[#This Row],[DATE]],"MMM")</f>
        <v>Nov</v>
      </c>
      <c r="J739" s="1">
        <f>WEEKNUM(InputData[[#This Row],[DATE]])</f>
        <v>47</v>
      </c>
    </row>
    <row r="740" spans="1:10" x14ac:dyDescent="0.25">
      <c r="A740" s="3">
        <v>44520</v>
      </c>
      <c r="B740" s="6" t="s">
        <v>69</v>
      </c>
      <c r="C740" s="4" t="s">
        <v>8</v>
      </c>
      <c r="D740" s="5">
        <v>94.62</v>
      </c>
      <c r="E740" s="1">
        <v>11</v>
      </c>
      <c r="F740" s="1">
        <f>InputData[[#This Row],[UNIT PRICE ($)]]*InputData[[#This Row],[QUANTITY]]</f>
        <v>1040.8200000000002</v>
      </c>
      <c r="G740" s="1" t="str">
        <f>VLOOKUP(InputData[[#This Row],[CUSTOMER NAME]],Country[#All],2,0)</f>
        <v>India</v>
      </c>
      <c r="H740" s="1" t="str">
        <f>VLOOKUP(InputData[[#This Row],[CUSTOMER NAME]],Country[#All],3,0)</f>
        <v>South</v>
      </c>
      <c r="I740" s="1" t="str">
        <f>TEXT(InputData[[#This Row],[DATE]],"MMM")</f>
        <v>Nov</v>
      </c>
      <c r="J740" s="1">
        <f>WEEKNUM(InputData[[#This Row],[DATE]])</f>
        <v>47</v>
      </c>
    </row>
    <row r="741" spans="1:10" x14ac:dyDescent="0.25">
      <c r="A741" s="3">
        <v>44520</v>
      </c>
      <c r="B741" s="6" t="s">
        <v>113</v>
      </c>
      <c r="C741" s="4" t="s">
        <v>22</v>
      </c>
      <c r="D741" s="5">
        <v>141.57</v>
      </c>
      <c r="E741" s="1">
        <v>34</v>
      </c>
      <c r="F741" s="1">
        <f>InputData[[#This Row],[UNIT PRICE ($)]]*InputData[[#This Row],[QUANTITY]]</f>
        <v>4813.38</v>
      </c>
      <c r="G741" s="1" t="str">
        <f>VLOOKUP(InputData[[#This Row],[CUSTOMER NAME]],Country[#All],2,0)</f>
        <v>Pakistan</v>
      </c>
      <c r="H741" s="1" t="str">
        <f>VLOOKUP(InputData[[#This Row],[CUSTOMER NAME]],Country[#All],3,0)</f>
        <v>Export</v>
      </c>
      <c r="I741" s="1" t="str">
        <f>TEXT(InputData[[#This Row],[DATE]],"MMM")</f>
        <v>Nov</v>
      </c>
      <c r="J741" s="1">
        <f>WEEKNUM(InputData[[#This Row],[DATE]])</f>
        <v>47</v>
      </c>
    </row>
    <row r="742" spans="1:10" x14ac:dyDescent="0.25">
      <c r="A742" s="3">
        <v>44520</v>
      </c>
      <c r="B742" s="6" t="s">
        <v>87</v>
      </c>
      <c r="C742" s="4" t="s">
        <v>34</v>
      </c>
      <c r="D742" s="5">
        <v>58.3</v>
      </c>
      <c r="E742" s="1">
        <v>14</v>
      </c>
      <c r="F742" s="1">
        <f>InputData[[#This Row],[UNIT PRICE ($)]]*InputData[[#This Row],[QUANTITY]]</f>
        <v>816.19999999999993</v>
      </c>
      <c r="G742" s="1" t="str">
        <f>VLOOKUP(InputData[[#This Row],[CUSTOMER NAME]],Country[#All],2,0)</f>
        <v>France</v>
      </c>
      <c r="H742" s="1" t="str">
        <f>VLOOKUP(InputData[[#This Row],[CUSTOMER NAME]],Country[#All],3,0)</f>
        <v>Export</v>
      </c>
      <c r="I742" s="1" t="str">
        <f>TEXT(InputData[[#This Row],[DATE]],"MMM")</f>
        <v>Nov</v>
      </c>
      <c r="J742" s="1">
        <f>WEEKNUM(InputData[[#This Row],[DATE]])</f>
        <v>47</v>
      </c>
    </row>
    <row r="743" spans="1:10" x14ac:dyDescent="0.25">
      <c r="A743" s="3">
        <v>44521</v>
      </c>
      <c r="B743" s="6" t="s">
        <v>108</v>
      </c>
      <c r="C743" s="4" t="s">
        <v>6</v>
      </c>
      <c r="D743" s="5">
        <v>85.5</v>
      </c>
      <c r="E743" s="1">
        <v>1</v>
      </c>
      <c r="F743" s="1">
        <f>InputData[[#This Row],[UNIT PRICE ($)]]*InputData[[#This Row],[QUANTITY]]</f>
        <v>85.5</v>
      </c>
      <c r="G743" s="1" t="str">
        <f>VLOOKUP(InputData[[#This Row],[CUSTOMER NAME]],Country[#All],2,0)</f>
        <v>India</v>
      </c>
      <c r="H743" s="1" t="str">
        <f>VLOOKUP(InputData[[#This Row],[CUSTOMER NAME]],Country[#All],3,0)</f>
        <v>North</v>
      </c>
      <c r="I743" s="1" t="str">
        <f>TEXT(InputData[[#This Row],[DATE]],"MMM")</f>
        <v>Nov</v>
      </c>
      <c r="J743" s="1">
        <f>WEEKNUM(InputData[[#This Row],[DATE]])</f>
        <v>48</v>
      </c>
    </row>
    <row r="744" spans="1:10" x14ac:dyDescent="0.25">
      <c r="A744" s="3">
        <v>44521</v>
      </c>
      <c r="B744" s="6" t="s">
        <v>110</v>
      </c>
      <c r="C744" s="4" t="s">
        <v>41</v>
      </c>
      <c r="D744" s="5">
        <v>173.88</v>
      </c>
      <c r="E744" s="1">
        <v>24</v>
      </c>
      <c r="F744" s="1">
        <f>InputData[[#This Row],[UNIT PRICE ($)]]*InputData[[#This Row],[QUANTITY]]</f>
        <v>4173.12</v>
      </c>
      <c r="G744" s="1" t="str">
        <f>VLOOKUP(InputData[[#This Row],[CUSTOMER NAME]],Country[#All],2,0)</f>
        <v>India</v>
      </c>
      <c r="H744" s="1" t="str">
        <f>VLOOKUP(InputData[[#This Row],[CUSTOMER NAME]],Country[#All],3,0)</f>
        <v>Western</v>
      </c>
      <c r="I744" s="1" t="str">
        <f>TEXT(InputData[[#This Row],[DATE]],"MMM")</f>
        <v>Nov</v>
      </c>
      <c r="J744" s="1">
        <f>WEEKNUM(InputData[[#This Row],[DATE]])</f>
        <v>48</v>
      </c>
    </row>
    <row r="745" spans="1:10" x14ac:dyDescent="0.25">
      <c r="A745" s="3">
        <v>44521</v>
      </c>
      <c r="B745" s="6" t="s">
        <v>67</v>
      </c>
      <c r="C745" s="4" t="s">
        <v>20</v>
      </c>
      <c r="D745" s="5">
        <v>76.25</v>
      </c>
      <c r="E745" s="1">
        <v>6</v>
      </c>
      <c r="F745" s="1">
        <f>InputData[[#This Row],[UNIT PRICE ($)]]*InputData[[#This Row],[QUANTITY]]</f>
        <v>457.5</v>
      </c>
      <c r="G745" s="1" t="str">
        <f>VLOOKUP(InputData[[#This Row],[CUSTOMER NAME]],Country[#All],2,0)</f>
        <v>United Kingdom</v>
      </c>
      <c r="H745" s="1" t="str">
        <f>VLOOKUP(InputData[[#This Row],[CUSTOMER NAME]],Country[#All],3,0)</f>
        <v>Export</v>
      </c>
      <c r="I745" s="1" t="str">
        <f>TEXT(InputData[[#This Row],[DATE]],"MMM")</f>
        <v>Nov</v>
      </c>
      <c r="J745" s="1">
        <f>WEEKNUM(InputData[[#This Row],[DATE]])</f>
        <v>48</v>
      </c>
    </row>
    <row r="746" spans="1:10" x14ac:dyDescent="0.25">
      <c r="A746" s="3">
        <v>44521</v>
      </c>
      <c r="B746" s="6" t="s">
        <v>78</v>
      </c>
      <c r="C746" s="4" t="s">
        <v>42</v>
      </c>
      <c r="D746" s="5">
        <v>162</v>
      </c>
      <c r="E746" s="1">
        <v>10</v>
      </c>
      <c r="F746" s="1">
        <f>InputData[[#This Row],[UNIT PRICE ($)]]*InputData[[#This Row],[QUANTITY]]</f>
        <v>1620</v>
      </c>
      <c r="G746" s="1" t="str">
        <f>VLOOKUP(InputData[[#This Row],[CUSTOMER NAME]],Country[#All],2,0)</f>
        <v>India</v>
      </c>
      <c r="H746" s="1" t="str">
        <f>VLOOKUP(InputData[[#This Row],[CUSTOMER NAME]],Country[#All],3,0)</f>
        <v>Central</v>
      </c>
      <c r="I746" s="1" t="str">
        <f>TEXT(InputData[[#This Row],[DATE]],"MMM")</f>
        <v>Nov</v>
      </c>
      <c r="J746" s="1">
        <f>WEEKNUM(InputData[[#This Row],[DATE]])</f>
        <v>48</v>
      </c>
    </row>
    <row r="747" spans="1:10" x14ac:dyDescent="0.25">
      <c r="A747" s="3">
        <v>44521</v>
      </c>
      <c r="B747" s="6" t="s">
        <v>116</v>
      </c>
      <c r="C747" s="4" t="s">
        <v>14</v>
      </c>
      <c r="D747" s="5">
        <v>146.72</v>
      </c>
      <c r="E747" s="1">
        <v>1</v>
      </c>
      <c r="F747" s="1">
        <f>InputData[[#This Row],[UNIT PRICE ($)]]*InputData[[#This Row],[QUANTITY]]</f>
        <v>146.72</v>
      </c>
      <c r="G747" s="1" t="str">
        <f>VLOOKUP(InputData[[#This Row],[CUSTOMER NAME]],Country[#All],2,0)</f>
        <v>Germany</v>
      </c>
      <c r="H747" s="1" t="str">
        <f>VLOOKUP(InputData[[#This Row],[CUSTOMER NAME]],Country[#All],3,0)</f>
        <v>Export</v>
      </c>
      <c r="I747" s="1" t="str">
        <f>TEXT(InputData[[#This Row],[DATE]],"MMM")</f>
        <v>Nov</v>
      </c>
      <c r="J747" s="1">
        <f>WEEKNUM(InputData[[#This Row],[DATE]])</f>
        <v>48</v>
      </c>
    </row>
    <row r="748" spans="1:10" x14ac:dyDescent="0.25">
      <c r="A748" s="3">
        <v>44522</v>
      </c>
      <c r="B748" s="6" t="s">
        <v>82</v>
      </c>
      <c r="C748" s="4" t="s">
        <v>17</v>
      </c>
      <c r="D748" s="5">
        <v>156.78</v>
      </c>
      <c r="E748" s="1">
        <v>35</v>
      </c>
      <c r="F748" s="1">
        <f>InputData[[#This Row],[UNIT PRICE ($)]]*InputData[[#This Row],[QUANTITY]]</f>
        <v>5487.3</v>
      </c>
      <c r="G748" s="1" t="str">
        <f>VLOOKUP(InputData[[#This Row],[CUSTOMER NAME]],Country[#All],2,0)</f>
        <v>India</v>
      </c>
      <c r="H748" s="1" t="str">
        <f>VLOOKUP(InputData[[#This Row],[CUSTOMER NAME]],Country[#All],3,0)</f>
        <v>Western</v>
      </c>
      <c r="I748" s="1" t="str">
        <f>TEXT(InputData[[#This Row],[DATE]],"MMM")</f>
        <v>Nov</v>
      </c>
      <c r="J748" s="1">
        <f>WEEKNUM(InputData[[#This Row],[DATE]])</f>
        <v>48</v>
      </c>
    </row>
    <row r="749" spans="1:10" x14ac:dyDescent="0.25">
      <c r="A749" s="3">
        <v>44523</v>
      </c>
      <c r="B749" s="6" t="s">
        <v>75</v>
      </c>
      <c r="C749" s="4" t="s">
        <v>36</v>
      </c>
      <c r="D749" s="5">
        <v>96.3</v>
      </c>
      <c r="E749" s="1">
        <v>12</v>
      </c>
      <c r="F749" s="1">
        <f>InputData[[#This Row],[UNIT PRICE ($)]]*InputData[[#This Row],[QUANTITY]]</f>
        <v>1155.5999999999999</v>
      </c>
      <c r="G749" s="1" t="str">
        <f>VLOOKUP(InputData[[#This Row],[CUSTOMER NAME]],Country[#All],2,0)</f>
        <v>Russia</v>
      </c>
      <c r="H749" s="1" t="str">
        <f>VLOOKUP(InputData[[#This Row],[CUSTOMER NAME]],Country[#All],3,0)</f>
        <v>Export</v>
      </c>
      <c r="I749" s="1" t="str">
        <f>TEXT(InputData[[#This Row],[DATE]],"MMM")</f>
        <v>Nov</v>
      </c>
      <c r="J749" s="1">
        <f>WEEKNUM(InputData[[#This Row],[DATE]])</f>
        <v>48</v>
      </c>
    </row>
    <row r="750" spans="1:10" x14ac:dyDescent="0.25">
      <c r="A750" s="3">
        <v>44525</v>
      </c>
      <c r="B750" s="6" t="s">
        <v>72</v>
      </c>
      <c r="C750" s="4" t="s">
        <v>4</v>
      </c>
      <c r="D750" s="5">
        <v>48.84</v>
      </c>
      <c r="E750" s="1">
        <v>5</v>
      </c>
      <c r="F750" s="1">
        <f>InputData[[#This Row],[UNIT PRICE ($)]]*InputData[[#This Row],[QUANTITY]]</f>
        <v>244.20000000000002</v>
      </c>
      <c r="G750" s="1" t="str">
        <f>VLOOKUP(InputData[[#This Row],[CUSTOMER NAME]],Country[#All],2,0)</f>
        <v>Brazil</v>
      </c>
      <c r="H750" s="1" t="str">
        <f>VLOOKUP(InputData[[#This Row],[CUSTOMER NAME]],Country[#All],3,0)</f>
        <v>Export</v>
      </c>
      <c r="I750" s="1" t="str">
        <f>TEXT(InputData[[#This Row],[DATE]],"MMM")</f>
        <v>Nov</v>
      </c>
      <c r="J750" s="1">
        <f>WEEKNUM(InputData[[#This Row],[DATE]])</f>
        <v>48</v>
      </c>
    </row>
    <row r="751" spans="1:10" x14ac:dyDescent="0.25">
      <c r="A751" s="3">
        <v>44525</v>
      </c>
      <c r="B751" s="6" t="s">
        <v>82</v>
      </c>
      <c r="C751" s="4" t="s">
        <v>3</v>
      </c>
      <c r="D751" s="5">
        <v>80.94</v>
      </c>
      <c r="E751" s="1">
        <v>10</v>
      </c>
      <c r="F751" s="1">
        <f>InputData[[#This Row],[UNIT PRICE ($)]]*InputData[[#This Row],[QUANTITY]]</f>
        <v>809.4</v>
      </c>
      <c r="G751" s="1" t="str">
        <f>VLOOKUP(InputData[[#This Row],[CUSTOMER NAME]],Country[#All],2,0)</f>
        <v>India</v>
      </c>
      <c r="H751" s="1" t="str">
        <f>VLOOKUP(InputData[[#This Row],[CUSTOMER NAME]],Country[#All],3,0)</f>
        <v>Western</v>
      </c>
      <c r="I751" s="1" t="str">
        <f>TEXT(InputData[[#This Row],[DATE]],"MMM")</f>
        <v>Nov</v>
      </c>
      <c r="J751" s="1">
        <f>WEEKNUM(InputData[[#This Row],[DATE]])</f>
        <v>48</v>
      </c>
    </row>
    <row r="752" spans="1:10" x14ac:dyDescent="0.25">
      <c r="A752" s="3">
        <v>44525</v>
      </c>
      <c r="B752" s="6" t="s">
        <v>82</v>
      </c>
      <c r="C752" s="4" t="s">
        <v>16</v>
      </c>
      <c r="D752" s="5">
        <v>16.64</v>
      </c>
      <c r="E752" s="1">
        <v>14</v>
      </c>
      <c r="F752" s="1">
        <f>InputData[[#This Row],[UNIT PRICE ($)]]*InputData[[#This Row],[QUANTITY]]</f>
        <v>232.96</v>
      </c>
      <c r="G752" s="1" t="str">
        <f>VLOOKUP(InputData[[#This Row],[CUSTOMER NAME]],Country[#All],2,0)</f>
        <v>India</v>
      </c>
      <c r="H752" s="1" t="str">
        <f>VLOOKUP(InputData[[#This Row],[CUSTOMER NAME]],Country[#All],3,0)</f>
        <v>Western</v>
      </c>
      <c r="I752" s="1" t="str">
        <f>TEXT(InputData[[#This Row],[DATE]],"MMM")</f>
        <v>Nov</v>
      </c>
      <c r="J752" s="1">
        <f>WEEKNUM(InputData[[#This Row],[DATE]])</f>
        <v>48</v>
      </c>
    </row>
    <row r="753" spans="1:10" x14ac:dyDescent="0.25">
      <c r="A753" s="3">
        <v>44526</v>
      </c>
      <c r="B753" s="6" t="s">
        <v>75</v>
      </c>
      <c r="C753" s="4" t="s">
        <v>9</v>
      </c>
      <c r="D753" s="5">
        <v>7.8599999999999994</v>
      </c>
      <c r="E753" s="1">
        <v>25</v>
      </c>
      <c r="F753" s="1">
        <f>InputData[[#This Row],[UNIT PRICE ($)]]*InputData[[#This Row],[QUANTITY]]</f>
        <v>196.5</v>
      </c>
      <c r="G753" s="1" t="str">
        <f>VLOOKUP(InputData[[#This Row],[CUSTOMER NAME]],Country[#All],2,0)</f>
        <v>Russia</v>
      </c>
      <c r="H753" s="1" t="str">
        <f>VLOOKUP(InputData[[#This Row],[CUSTOMER NAME]],Country[#All],3,0)</f>
        <v>Export</v>
      </c>
      <c r="I753" s="1" t="str">
        <f>TEXT(InputData[[#This Row],[DATE]],"MMM")</f>
        <v>Nov</v>
      </c>
      <c r="J753" s="1">
        <f>WEEKNUM(InputData[[#This Row],[DATE]])</f>
        <v>48</v>
      </c>
    </row>
    <row r="754" spans="1:10" x14ac:dyDescent="0.25">
      <c r="A754" s="3">
        <v>44526</v>
      </c>
      <c r="B754" s="6" t="s">
        <v>80</v>
      </c>
      <c r="C754" s="4" t="s">
        <v>32</v>
      </c>
      <c r="D754" s="5">
        <v>117.48</v>
      </c>
      <c r="E754" s="1">
        <v>5</v>
      </c>
      <c r="F754" s="1">
        <f>InputData[[#This Row],[UNIT PRICE ($)]]*InputData[[#This Row],[QUANTITY]]</f>
        <v>587.4</v>
      </c>
      <c r="G754" s="1" t="str">
        <f>VLOOKUP(InputData[[#This Row],[CUSTOMER NAME]],Country[#All],2,0)</f>
        <v>South Africa</v>
      </c>
      <c r="H754" s="1" t="str">
        <f>VLOOKUP(InputData[[#This Row],[CUSTOMER NAME]],Country[#All],3,0)</f>
        <v>Export</v>
      </c>
      <c r="I754" s="1" t="str">
        <f>TEXT(InputData[[#This Row],[DATE]],"MMM")</f>
        <v>Nov</v>
      </c>
      <c r="J754" s="1">
        <f>WEEKNUM(InputData[[#This Row],[DATE]])</f>
        <v>48</v>
      </c>
    </row>
    <row r="755" spans="1:10" x14ac:dyDescent="0.25">
      <c r="A755" s="3">
        <v>44527</v>
      </c>
      <c r="B755" s="6" t="s">
        <v>112</v>
      </c>
      <c r="C755" s="4" t="s">
        <v>12</v>
      </c>
      <c r="D755" s="5">
        <v>94.17</v>
      </c>
      <c r="E755" s="1">
        <v>8</v>
      </c>
      <c r="F755" s="1">
        <f>InputData[[#This Row],[UNIT PRICE ($)]]*InputData[[#This Row],[QUANTITY]]</f>
        <v>753.36</v>
      </c>
      <c r="G755" s="1" t="str">
        <f>VLOOKUP(InputData[[#This Row],[CUSTOMER NAME]],Country[#All],2,0)</f>
        <v>India</v>
      </c>
      <c r="H755" s="1" t="str">
        <f>VLOOKUP(InputData[[#This Row],[CUSTOMER NAME]],Country[#All],3,0)</f>
        <v>North</v>
      </c>
      <c r="I755" s="1" t="str">
        <f>TEXT(InputData[[#This Row],[DATE]],"MMM")</f>
        <v>Nov</v>
      </c>
      <c r="J755" s="1">
        <f>WEEKNUM(InputData[[#This Row],[DATE]])</f>
        <v>48</v>
      </c>
    </row>
    <row r="756" spans="1:10" x14ac:dyDescent="0.25">
      <c r="A756" s="3">
        <v>44527</v>
      </c>
      <c r="B756" s="6" t="s">
        <v>112</v>
      </c>
      <c r="C756" s="4" t="s">
        <v>34</v>
      </c>
      <c r="D756" s="5">
        <v>58.3</v>
      </c>
      <c r="E756" s="1">
        <v>15</v>
      </c>
      <c r="F756" s="1">
        <f>InputData[[#This Row],[UNIT PRICE ($)]]*InputData[[#This Row],[QUANTITY]]</f>
        <v>874.5</v>
      </c>
      <c r="G756" s="1" t="str">
        <f>VLOOKUP(InputData[[#This Row],[CUSTOMER NAME]],Country[#All],2,0)</f>
        <v>India</v>
      </c>
      <c r="H756" s="1" t="str">
        <f>VLOOKUP(InputData[[#This Row],[CUSTOMER NAME]],Country[#All],3,0)</f>
        <v>North</v>
      </c>
      <c r="I756" s="1" t="str">
        <f>TEXT(InputData[[#This Row],[DATE]],"MMM")</f>
        <v>Nov</v>
      </c>
      <c r="J756" s="1">
        <f>WEEKNUM(InputData[[#This Row],[DATE]])</f>
        <v>48</v>
      </c>
    </row>
    <row r="757" spans="1:10" x14ac:dyDescent="0.25">
      <c r="A757" s="3">
        <v>44527</v>
      </c>
      <c r="B757" s="6" t="s">
        <v>74</v>
      </c>
      <c r="C757" s="4" t="s">
        <v>33</v>
      </c>
      <c r="D757" s="5">
        <v>119.7</v>
      </c>
      <c r="E757" s="1">
        <v>28</v>
      </c>
      <c r="F757" s="1">
        <f>InputData[[#This Row],[UNIT PRICE ($)]]*InputData[[#This Row],[QUANTITY]]</f>
        <v>3351.6</v>
      </c>
      <c r="G757" s="1" t="str">
        <f>VLOOKUP(InputData[[#This Row],[CUSTOMER NAME]],Country[#All],2,0)</f>
        <v>Brazil</v>
      </c>
      <c r="H757" s="1" t="str">
        <f>VLOOKUP(InputData[[#This Row],[CUSTOMER NAME]],Country[#All],3,0)</f>
        <v>Export</v>
      </c>
      <c r="I757" s="1" t="str">
        <f>TEXT(InputData[[#This Row],[DATE]],"MMM")</f>
        <v>Nov</v>
      </c>
      <c r="J757" s="1">
        <f>WEEKNUM(InputData[[#This Row],[DATE]])</f>
        <v>48</v>
      </c>
    </row>
    <row r="758" spans="1:10" x14ac:dyDescent="0.25">
      <c r="A758" s="3">
        <v>44527</v>
      </c>
      <c r="B758" s="6" t="s">
        <v>75</v>
      </c>
      <c r="C758" s="4" t="s">
        <v>35</v>
      </c>
      <c r="D758" s="5">
        <v>6.7</v>
      </c>
      <c r="E758" s="1">
        <v>28</v>
      </c>
      <c r="F758" s="1">
        <f>InputData[[#This Row],[UNIT PRICE ($)]]*InputData[[#This Row],[QUANTITY]]</f>
        <v>187.6</v>
      </c>
      <c r="G758" s="1" t="str">
        <f>VLOOKUP(InputData[[#This Row],[CUSTOMER NAME]],Country[#All],2,0)</f>
        <v>Russia</v>
      </c>
      <c r="H758" s="1" t="str">
        <f>VLOOKUP(InputData[[#This Row],[CUSTOMER NAME]],Country[#All],3,0)</f>
        <v>Export</v>
      </c>
      <c r="I758" s="1" t="str">
        <f>TEXT(InputData[[#This Row],[DATE]],"MMM")</f>
        <v>Nov</v>
      </c>
      <c r="J758" s="1">
        <f>WEEKNUM(InputData[[#This Row],[DATE]])</f>
        <v>48</v>
      </c>
    </row>
    <row r="759" spans="1:10" x14ac:dyDescent="0.25">
      <c r="A759" s="3">
        <v>44527</v>
      </c>
      <c r="B759" s="6" t="s">
        <v>78</v>
      </c>
      <c r="C759" s="4" t="s">
        <v>22</v>
      </c>
      <c r="D759" s="5">
        <v>141.57</v>
      </c>
      <c r="E759" s="1">
        <v>37</v>
      </c>
      <c r="F759" s="1">
        <f>InputData[[#This Row],[UNIT PRICE ($)]]*InputData[[#This Row],[QUANTITY]]</f>
        <v>5238.09</v>
      </c>
      <c r="G759" s="1" t="str">
        <f>VLOOKUP(InputData[[#This Row],[CUSTOMER NAME]],Country[#All],2,0)</f>
        <v>India</v>
      </c>
      <c r="H759" s="1" t="str">
        <f>VLOOKUP(InputData[[#This Row],[CUSTOMER NAME]],Country[#All],3,0)</f>
        <v>Central</v>
      </c>
      <c r="I759" s="1" t="str">
        <f>TEXT(InputData[[#This Row],[DATE]],"MMM")</f>
        <v>Nov</v>
      </c>
      <c r="J759" s="1">
        <f>WEEKNUM(InputData[[#This Row],[DATE]])</f>
        <v>48</v>
      </c>
    </row>
    <row r="760" spans="1:10" x14ac:dyDescent="0.25">
      <c r="A760" s="3">
        <v>44528</v>
      </c>
      <c r="B760" s="6" t="s">
        <v>64</v>
      </c>
      <c r="C760" s="4" t="s">
        <v>28</v>
      </c>
      <c r="D760" s="5">
        <v>41.81</v>
      </c>
      <c r="E760" s="1">
        <v>9</v>
      </c>
      <c r="F760" s="1">
        <f>InputData[[#This Row],[UNIT PRICE ($)]]*InputData[[#This Row],[QUANTITY]]</f>
        <v>376.29</v>
      </c>
      <c r="G760" s="1" t="str">
        <f>VLOOKUP(InputData[[#This Row],[CUSTOMER NAME]],Country[#All],2,0)</f>
        <v>India</v>
      </c>
      <c r="H760" s="1" t="str">
        <f>VLOOKUP(InputData[[#This Row],[CUSTOMER NAME]],Country[#All],3,0)</f>
        <v>Northeast</v>
      </c>
      <c r="I760" s="1" t="str">
        <f>TEXT(InputData[[#This Row],[DATE]],"MMM")</f>
        <v>Nov</v>
      </c>
      <c r="J760" s="1">
        <f>WEEKNUM(InputData[[#This Row],[DATE]])</f>
        <v>49</v>
      </c>
    </row>
    <row r="761" spans="1:10" x14ac:dyDescent="0.25">
      <c r="A761" s="3">
        <v>44528</v>
      </c>
      <c r="B761" s="6" t="s">
        <v>67</v>
      </c>
      <c r="C761" s="4" t="s">
        <v>40</v>
      </c>
      <c r="D761" s="5">
        <v>115.2</v>
      </c>
      <c r="E761" s="1">
        <v>2</v>
      </c>
      <c r="F761" s="1">
        <f>InputData[[#This Row],[UNIT PRICE ($)]]*InputData[[#This Row],[QUANTITY]]</f>
        <v>230.4</v>
      </c>
      <c r="G761" s="1" t="str">
        <f>VLOOKUP(InputData[[#This Row],[CUSTOMER NAME]],Country[#All],2,0)</f>
        <v>United Kingdom</v>
      </c>
      <c r="H761" s="1" t="str">
        <f>VLOOKUP(InputData[[#This Row],[CUSTOMER NAME]],Country[#All],3,0)</f>
        <v>Export</v>
      </c>
      <c r="I761" s="1" t="str">
        <f>TEXT(InputData[[#This Row],[DATE]],"MMM")</f>
        <v>Nov</v>
      </c>
      <c r="J761" s="1">
        <f>WEEKNUM(InputData[[#This Row],[DATE]])</f>
        <v>49</v>
      </c>
    </row>
    <row r="762" spans="1:10" x14ac:dyDescent="0.25">
      <c r="A762" s="3">
        <v>44528</v>
      </c>
      <c r="B762" s="6" t="s">
        <v>73</v>
      </c>
      <c r="C762" s="4" t="s">
        <v>31</v>
      </c>
      <c r="D762" s="5">
        <v>104.16</v>
      </c>
      <c r="E762" s="1">
        <v>8</v>
      </c>
      <c r="F762" s="1">
        <f>InputData[[#This Row],[UNIT PRICE ($)]]*InputData[[#This Row],[QUANTITY]]</f>
        <v>833.28</v>
      </c>
      <c r="G762" s="1" t="str">
        <f>VLOOKUP(InputData[[#This Row],[CUSTOMER NAME]],Country[#All],2,0)</f>
        <v>India</v>
      </c>
      <c r="H762" s="1" t="str">
        <f>VLOOKUP(InputData[[#This Row],[CUSTOMER NAME]],Country[#All],3,0)</f>
        <v>East</v>
      </c>
      <c r="I762" s="1" t="str">
        <f>TEXT(InputData[[#This Row],[DATE]],"MMM")</f>
        <v>Nov</v>
      </c>
      <c r="J762" s="1">
        <f>WEEKNUM(InputData[[#This Row],[DATE]])</f>
        <v>49</v>
      </c>
    </row>
    <row r="763" spans="1:10" x14ac:dyDescent="0.25">
      <c r="A763" s="3">
        <v>44530</v>
      </c>
      <c r="B763" s="6" t="s">
        <v>61</v>
      </c>
      <c r="C763" s="4" t="s">
        <v>39</v>
      </c>
      <c r="D763" s="5">
        <v>42.55</v>
      </c>
      <c r="E763" s="1">
        <v>15</v>
      </c>
      <c r="F763" s="1">
        <f>InputData[[#This Row],[UNIT PRICE ($)]]*InputData[[#This Row],[QUANTITY]]</f>
        <v>638.25</v>
      </c>
      <c r="G763" s="1" t="str">
        <f>VLOOKUP(InputData[[#This Row],[CUSTOMER NAME]],Country[#All],2,0)</f>
        <v>Bangladesh</v>
      </c>
      <c r="H763" s="1" t="str">
        <f>VLOOKUP(InputData[[#This Row],[CUSTOMER NAME]],Country[#All],3,0)</f>
        <v>Export</v>
      </c>
      <c r="I763" s="1" t="str">
        <f>TEXT(InputData[[#This Row],[DATE]],"MMM")</f>
        <v>Nov</v>
      </c>
      <c r="J763" s="1">
        <f>WEEKNUM(InputData[[#This Row],[DATE]])</f>
        <v>49</v>
      </c>
    </row>
    <row r="764" spans="1:10" x14ac:dyDescent="0.25">
      <c r="A764" s="3">
        <v>44530</v>
      </c>
      <c r="B764" s="6" t="s">
        <v>110</v>
      </c>
      <c r="C764" s="4" t="s">
        <v>15</v>
      </c>
      <c r="D764" s="5">
        <v>15.719999999999999</v>
      </c>
      <c r="E764" s="1">
        <v>2</v>
      </c>
      <c r="F764" s="1">
        <f>InputData[[#This Row],[UNIT PRICE ($)]]*InputData[[#This Row],[QUANTITY]]</f>
        <v>31.439999999999998</v>
      </c>
      <c r="G764" s="1" t="str">
        <f>VLOOKUP(InputData[[#This Row],[CUSTOMER NAME]],Country[#All],2,0)</f>
        <v>India</v>
      </c>
      <c r="H764" s="1" t="str">
        <f>VLOOKUP(InputData[[#This Row],[CUSTOMER NAME]],Country[#All],3,0)</f>
        <v>Western</v>
      </c>
      <c r="I764" s="1" t="str">
        <f>TEXT(InputData[[#This Row],[DATE]],"MMM")</f>
        <v>Nov</v>
      </c>
      <c r="J764" s="1">
        <f>WEEKNUM(InputData[[#This Row],[DATE]])</f>
        <v>49</v>
      </c>
    </row>
    <row r="765" spans="1:10" x14ac:dyDescent="0.25">
      <c r="A765" s="3">
        <v>44532</v>
      </c>
      <c r="B765" s="6" t="s">
        <v>76</v>
      </c>
      <c r="C765" s="4" t="s">
        <v>16</v>
      </c>
      <c r="D765" s="5">
        <v>16.64</v>
      </c>
      <c r="E765" s="1">
        <v>10</v>
      </c>
      <c r="F765" s="1">
        <f>InputData[[#This Row],[UNIT PRICE ($)]]*InputData[[#This Row],[QUANTITY]]</f>
        <v>166.4</v>
      </c>
      <c r="G765" s="1" t="str">
        <f>VLOOKUP(InputData[[#This Row],[CUSTOMER NAME]],Country[#All],2,0)</f>
        <v>Saudi Arabia</v>
      </c>
      <c r="H765" s="1" t="str">
        <f>VLOOKUP(InputData[[#This Row],[CUSTOMER NAME]],Country[#All],3,0)</f>
        <v>Export</v>
      </c>
      <c r="I765" s="1" t="str">
        <f>TEXT(InputData[[#This Row],[DATE]],"MMM")</f>
        <v>Dec</v>
      </c>
      <c r="J765" s="1">
        <f>WEEKNUM(InputData[[#This Row],[DATE]])</f>
        <v>49</v>
      </c>
    </row>
    <row r="766" spans="1:10" x14ac:dyDescent="0.25">
      <c r="A766" s="3">
        <v>44533</v>
      </c>
      <c r="B766" s="6" t="s">
        <v>75</v>
      </c>
      <c r="C766" s="4" t="s">
        <v>19</v>
      </c>
      <c r="D766" s="5">
        <v>210</v>
      </c>
      <c r="E766" s="1">
        <v>8</v>
      </c>
      <c r="F766" s="1">
        <f>InputData[[#This Row],[UNIT PRICE ($)]]*InputData[[#This Row],[QUANTITY]]</f>
        <v>1680</v>
      </c>
      <c r="G766" s="1" t="str">
        <f>VLOOKUP(InputData[[#This Row],[CUSTOMER NAME]],Country[#All],2,0)</f>
        <v>Russia</v>
      </c>
      <c r="H766" s="1" t="str">
        <f>VLOOKUP(InputData[[#This Row],[CUSTOMER NAME]],Country[#All],3,0)</f>
        <v>Export</v>
      </c>
      <c r="I766" s="1" t="str">
        <f>TEXT(InputData[[#This Row],[DATE]],"MMM")</f>
        <v>Dec</v>
      </c>
      <c r="J766" s="1">
        <f>WEEKNUM(InputData[[#This Row],[DATE]])</f>
        <v>49</v>
      </c>
    </row>
    <row r="767" spans="1:10" x14ac:dyDescent="0.25">
      <c r="A767" s="3">
        <v>44533</v>
      </c>
      <c r="B767" s="6" t="s">
        <v>113</v>
      </c>
      <c r="C767" s="4" t="s">
        <v>34</v>
      </c>
      <c r="D767" s="5">
        <v>58.3</v>
      </c>
      <c r="E767" s="1">
        <v>2</v>
      </c>
      <c r="F767" s="1">
        <f>InputData[[#This Row],[UNIT PRICE ($)]]*InputData[[#This Row],[QUANTITY]]</f>
        <v>116.6</v>
      </c>
      <c r="G767" s="1" t="str">
        <f>VLOOKUP(InputData[[#This Row],[CUSTOMER NAME]],Country[#All],2,0)</f>
        <v>Pakistan</v>
      </c>
      <c r="H767" s="1" t="str">
        <f>VLOOKUP(InputData[[#This Row],[CUSTOMER NAME]],Country[#All],3,0)</f>
        <v>Export</v>
      </c>
      <c r="I767" s="1" t="str">
        <f>TEXT(InputData[[#This Row],[DATE]],"MMM")</f>
        <v>Dec</v>
      </c>
      <c r="J767" s="1">
        <f>WEEKNUM(InputData[[#This Row],[DATE]])</f>
        <v>49</v>
      </c>
    </row>
    <row r="768" spans="1:10" x14ac:dyDescent="0.25">
      <c r="A768" s="3">
        <v>44533</v>
      </c>
      <c r="B768" s="6" t="s">
        <v>115</v>
      </c>
      <c r="C768" s="4" t="s">
        <v>28</v>
      </c>
      <c r="D768" s="5">
        <v>41.81</v>
      </c>
      <c r="E768" s="1">
        <v>5</v>
      </c>
      <c r="F768" s="1">
        <f>InputData[[#This Row],[UNIT PRICE ($)]]*InputData[[#This Row],[QUANTITY]]</f>
        <v>209.05</v>
      </c>
      <c r="G768" s="1" t="str">
        <f>VLOOKUP(InputData[[#This Row],[CUSTOMER NAME]],Country[#All],2,0)</f>
        <v>India</v>
      </c>
      <c r="H768" s="1" t="str">
        <f>VLOOKUP(InputData[[#This Row],[CUSTOMER NAME]],Country[#All],3,0)</f>
        <v>Northeast</v>
      </c>
      <c r="I768" s="1" t="str">
        <f>TEXT(InputData[[#This Row],[DATE]],"MMM")</f>
        <v>Dec</v>
      </c>
      <c r="J768" s="1">
        <f>WEEKNUM(InputData[[#This Row],[DATE]])</f>
        <v>49</v>
      </c>
    </row>
    <row r="769" spans="1:10" x14ac:dyDescent="0.25">
      <c r="A769" s="3">
        <v>44534</v>
      </c>
      <c r="B769" s="6" t="s">
        <v>108</v>
      </c>
      <c r="C769" s="4" t="s">
        <v>4</v>
      </c>
      <c r="D769" s="5">
        <v>48.84</v>
      </c>
      <c r="E769" s="1">
        <v>32</v>
      </c>
      <c r="F769" s="1">
        <f>InputData[[#This Row],[UNIT PRICE ($)]]*InputData[[#This Row],[QUANTITY]]</f>
        <v>1562.88</v>
      </c>
      <c r="G769" s="1" t="str">
        <f>VLOOKUP(InputData[[#This Row],[CUSTOMER NAME]],Country[#All],2,0)</f>
        <v>India</v>
      </c>
      <c r="H769" s="1" t="str">
        <f>VLOOKUP(InputData[[#This Row],[CUSTOMER NAME]],Country[#All],3,0)</f>
        <v>North</v>
      </c>
      <c r="I769" s="1" t="str">
        <f>TEXT(InputData[[#This Row],[DATE]],"MMM")</f>
        <v>Dec</v>
      </c>
      <c r="J769" s="1">
        <f>WEEKNUM(InputData[[#This Row],[DATE]])</f>
        <v>49</v>
      </c>
    </row>
    <row r="770" spans="1:10" x14ac:dyDescent="0.25">
      <c r="A770" s="3">
        <v>44534</v>
      </c>
      <c r="B770" s="6" t="s">
        <v>61</v>
      </c>
      <c r="C770" s="4" t="s">
        <v>44</v>
      </c>
      <c r="D770" s="5">
        <v>82.08</v>
      </c>
      <c r="E770" s="1">
        <v>15</v>
      </c>
      <c r="F770" s="1">
        <f>InputData[[#This Row],[UNIT PRICE ($)]]*InputData[[#This Row],[QUANTITY]]</f>
        <v>1231.2</v>
      </c>
      <c r="G770" s="1" t="str">
        <f>VLOOKUP(InputData[[#This Row],[CUSTOMER NAME]],Country[#All],2,0)</f>
        <v>Bangladesh</v>
      </c>
      <c r="H770" s="1" t="str">
        <f>VLOOKUP(InputData[[#This Row],[CUSTOMER NAME]],Country[#All],3,0)</f>
        <v>Export</v>
      </c>
      <c r="I770" s="1" t="str">
        <f>TEXT(InputData[[#This Row],[DATE]],"MMM")</f>
        <v>Dec</v>
      </c>
      <c r="J770" s="1">
        <f>WEEKNUM(InputData[[#This Row],[DATE]])</f>
        <v>49</v>
      </c>
    </row>
    <row r="771" spans="1:10" x14ac:dyDescent="0.25">
      <c r="A771" s="3">
        <v>44534</v>
      </c>
      <c r="B771" s="6" t="s">
        <v>70</v>
      </c>
      <c r="C771" s="4" t="s">
        <v>26</v>
      </c>
      <c r="D771" s="5">
        <v>24.66</v>
      </c>
      <c r="E771" s="1">
        <v>10</v>
      </c>
      <c r="F771" s="1">
        <f>InputData[[#This Row],[UNIT PRICE ($)]]*InputData[[#This Row],[QUANTITY]]</f>
        <v>246.6</v>
      </c>
      <c r="G771" s="1" t="str">
        <f>VLOOKUP(InputData[[#This Row],[CUSTOMER NAME]],Country[#All],2,0)</f>
        <v>Mexico</v>
      </c>
      <c r="H771" s="1" t="str">
        <f>VLOOKUP(InputData[[#This Row],[CUSTOMER NAME]],Country[#All],3,0)</f>
        <v>Export</v>
      </c>
      <c r="I771" s="1" t="str">
        <f>TEXT(InputData[[#This Row],[DATE]],"MMM")</f>
        <v>Dec</v>
      </c>
      <c r="J771" s="1">
        <f>WEEKNUM(InputData[[#This Row],[DATE]])</f>
        <v>49</v>
      </c>
    </row>
    <row r="772" spans="1:10" x14ac:dyDescent="0.25">
      <c r="A772" s="3">
        <v>44535</v>
      </c>
      <c r="B772" s="6" t="s">
        <v>70</v>
      </c>
      <c r="C772" s="4" t="s">
        <v>25</v>
      </c>
      <c r="D772" s="5">
        <v>8.33</v>
      </c>
      <c r="E772" s="1">
        <v>12</v>
      </c>
      <c r="F772" s="1">
        <f>InputData[[#This Row],[UNIT PRICE ($)]]*InputData[[#This Row],[QUANTITY]]</f>
        <v>99.960000000000008</v>
      </c>
      <c r="G772" s="1" t="str">
        <f>VLOOKUP(InputData[[#This Row],[CUSTOMER NAME]],Country[#All],2,0)</f>
        <v>Mexico</v>
      </c>
      <c r="H772" s="1" t="str">
        <f>VLOOKUP(InputData[[#This Row],[CUSTOMER NAME]],Country[#All],3,0)</f>
        <v>Export</v>
      </c>
      <c r="I772" s="1" t="str">
        <f>TEXT(InputData[[#This Row],[DATE]],"MMM")</f>
        <v>Dec</v>
      </c>
      <c r="J772" s="1">
        <f>WEEKNUM(InputData[[#This Row],[DATE]])</f>
        <v>50</v>
      </c>
    </row>
    <row r="773" spans="1:10" x14ac:dyDescent="0.25">
      <c r="A773" s="3">
        <v>44535</v>
      </c>
      <c r="B773" s="6" t="s">
        <v>77</v>
      </c>
      <c r="C773" s="4" t="s">
        <v>4</v>
      </c>
      <c r="D773" s="5">
        <v>48.84</v>
      </c>
      <c r="E773" s="1">
        <v>15</v>
      </c>
      <c r="F773" s="1">
        <f>InputData[[#This Row],[UNIT PRICE ($)]]*InputData[[#This Row],[QUANTITY]]</f>
        <v>732.6</v>
      </c>
      <c r="G773" s="1" t="str">
        <f>VLOOKUP(InputData[[#This Row],[CUSTOMER NAME]],Country[#All],2,0)</f>
        <v>India</v>
      </c>
      <c r="H773" s="1" t="str">
        <f>VLOOKUP(InputData[[#This Row],[CUSTOMER NAME]],Country[#All],3,0)</f>
        <v>Western</v>
      </c>
      <c r="I773" s="1" t="str">
        <f>TEXT(InputData[[#This Row],[DATE]],"MMM")</f>
        <v>Dec</v>
      </c>
      <c r="J773" s="1">
        <f>WEEKNUM(InputData[[#This Row],[DATE]])</f>
        <v>50</v>
      </c>
    </row>
    <row r="774" spans="1:10" x14ac:dyDescent="0.25">
      <c r="A774" s="3">
        <v>44535</v>
      </c>
      <c r="B774" s="6" t="s">
        <v>78</v>
      </c>
      <c r="C774" s="4" t="s">
        <v>10</v>
      </c>
      <c r="D774" s="5">
        <v>164.28</v>
      </c>
      <c r="E774" s="1">
        <v>1</v>
      </c>
      <c r="F774" s="1">
        <f>InputData[[#This Row],[UNIT PRICE ($)]]*InputData[[#This Row],[QUANTITY]]</f>
        <v>164.28</v>
      </c>
      <c r="G774" s="1" t="str">
        <f>VLOOKUP(InputData[[#This Row],[CUSTOMER NAME]],Country[#All],2,0)</f>
        <v>India</v>
      </c>
      <c r="H774" s="1" t="str">
        <f>VLOOKUP(InputData[[#This Row],[CUSTOMER NAME]],Country[#All],3,0)</f>
        <v>Central</v>
      </c>
      <c r="I774" s="1" t="str">
        <f>TEXT(InputData[[#This Row],[DATE]],"MMM")</f>
        <v>Dec</v>
      </c>
      <c r="J774" s="1">
        <f>WEEKNUM(InputData[[#This Row],[DATE]])</f>
        <v>50</v>
      </c>
    </row>
    <row r="775" spans="1:10" x14ac:dyDescent="0.25">
      <c r="A775" s="3">
        <v>44537</v>
      </c>
      <c r="B775" s="6" t="s">
        <v>66</v>
      </c>
      <c r="C775" s="4" t="s">
        <v>38</v>
      </c>
      <c r="D775" s="5">
        <v>79.92</v>
      </c>
      <c r="E775" s="1">
        <v>5</v>
      </c>
      <c r="F775" s="1">
        <f>InputData[[#This Row],[UNIT PRICE ($)]]*InputData[[#This Row],[QUANTITY]]</f>
        <v>399.6</v>
      </c>
      <c r="G775" s="1" t="str">
        <f>VLOOKUP(InputData[[#This Row],[CUSTOMER NAME]],Country[#All],2,0)</f>
        <v>Indonesia</v>
      </c>
      <c r="H775" s="1" t="str">
        <f>VLOOKUP(InputData[[#This Row],[CUSTOMER NAME]],Country[#All],3,0)</f>
        <v>Export</v>
      </c>
      <c r="I775" s="1" t="str">
        <f>TEXT(InputData[[#This Row],[DATE]],"MMM")</f>
        <v>Dec</v>
      </c>
      <c r="J775" s="1">
        <f>WEEKNUM(InputData[[#This Row],[DATE]])</f>
        <v>50</v>
      </c>
    </row>
    <row r="776" spans="1:10" x14ac:dyDescent="0.25">
      <c r="A776" s="3">
        <v>44537</v>
      </c>
      <c r="B776" s="6" t="s">
        <v>73</v>
      </c>
      <c r="C776" s="4" t="s">
        <v>16</v>
      </c>
      <c r="D776" s="5">
        <v>16.64</v>
      </c>
      <c r="E776" s="1">
        <v>13</v>
      </c>
      <c r="F776" s="1">
        <f>InputData[[#This Row],[UNIT PRICE ($)]]*InputData[[#This Row],[QUANTITY]]</f>
        <v>216.32</v>
      </c>
      <c r="G776" s="1" t="str">
        <f>VLOOKUP(InputData[[#This Row],[CUSTOMER NAME]],Country[#All],2,0)</f>
        <v>India</v>
      </c>
      <c r="H776" s="1" t="str">
        <f>VLOOKUP(InputData[[#This Row],[CUSTOMER NAME]],Country[#All],3,0)</f>
        <v>East</v>
      </c>
      <c r="I776" s="1" t="str">
        <f>TEXT(InputData[[#This Row],[DATE]],"MMM")</f>
        <v>Dec</v>
      </c>
      <c r="J776" s="1">
        <f>WEEKNUM(InputData[[#This Row],[DATE]])</f>
        <v>50</v>
      </c>
    </row>
    <row r="777" spans="1:10" x14ac:dyDescent="0.25">
      <c r="A777" s="3">
        <v>44537</v>
      </c>
      <c r="B777" s="6" t="s">
        <v>84</v>
      </c>
      <c r="C777" s="4" t="s">
        <v>38</v>
      </c>
      <c r="D777" s="5">
        <v>79.92</v>
      </c>
      <c r="E777" s="1">
        <v>12</v>
      </c>
      <c r="F777" s="1">
        <f>InputData[[#This Row],[UNIT PRICE ($)]]*InputData[[#This Row],[QUANTITY]]</f>
        <v>959.04</v>
      </c>
      <c r="G777" s="1" t="str">
        <f>VLOOKUP(InputData[[#This Row],[CUSTOMER NAME]],Country[#All],2,0)</f>
        <v>Ethiopia</v>
      </c>
      <c r="H777" s="1" t="str">
        <f>VLOOKUP(InputData[[#This Row],[CUSTOMER NAME]],Country[#All],3,0)</f>
        <v>Export</v>
      </c>
      <c r="I777" s="1" t="str">
        <f>TEXT(InputData[[#This Row],[DATE]],"MMM")</f>
        <v>Dec</v>
      </c>
      <c r="J777" s="1">
        <f>WEEKNUM(InputData[[#This Row],[DATE]])</f>
        <v>50</v>
      </c>
    </row>
    <row r="778" spans="1:10" x14ac:dyDescent="0.25">
      <c r="A778" s="3">
        <v>44537</v>
      </c>
      <c r="B778" s="6" t="s">
        <v>116</v>
      </c>
      <c r="C778" s="4" t="s">
        <v>6</v>
      </c>
      <c r="D778" s="5">
        <v>85.5</v>
      </c>
      <c r="E778" s="1">
        <v>27</v>
      </c>
      <c r="F778" s="1">
        <f>InputData[[#This Row],[UNIT PRICE ($)]]*InputData[[#This Row],[QUANTITY]]</f>
        <v>2308.5</v>
      </c>
      <c r="G778" s="1" t="str">
        <f>VLOOKUP(InputData[[#This Row],[CUSTOMER NAME]],Country[#All],2,0)</f>
        <v>Germany</v>
      </c>
      <c r="H778" s="1" t="str">
        <f>VLOOKUP(InputData[[#This Row],[CUSTOMER NAME]],Country[#All],3,0)</f>
        <v>Export</v>
      </c>
      <c r="I778" s="1" t="str">
        <f>TEXT(InputData[[#This Row],[DATE]],"MMM")</f>
        <v>Dec</v>
      </c>
      <c r="J778" s="1">
        <f>WEEKNUM(InputData[[#This Row],[DATE]])</f>
        <v>50</v>
      </c>
    </row>
    <row r="779" spans="1:10" x14ac:dyDescent="0.25">
      <c r="A779" s="3">
        <v>44537</v>
      </c>
      <c r="B779" s="6" t="s">
        <v>117</v>
      </c>
      <c r="C779" s="4" t="s">
        <v>13</v>
      </c>
      <c r="D779" s="5">
        <v>122.08</v>
      </c>
      <c r="E779" s="1">
        <v>8</v>
      </c>
      <c r="F779" s="1">
        <f>InputData[[#This Row],[UNIT PRICE ($)]]*InputData[[#This Row],[QUANTITY]]</f>
        <v>976.64</v>
      </c>
      <c r="G779" s="1" t="str">
        <f>VLOOKUP(InputData[[#This Row],[CUSTOMER NAME]],Country[#All],2,0)</f>
        <v>United States of America</v>
      </c>
      <c r="H779" s="1" t="str">
        <f>VLOOKUP(InputData[[#This Row],[CUSTOMER NAME]],Country[#All],3,0)</f>
        <v>Export</v>
      </c>
      <c r="I779" s="1" t="str">
        <f>TEXT(InputData[[#This Row],[DATE]],"MMM")</f>
        <v>Dec</v>
      </c>
      <c r="J779" s="1">
        <f>WEEKNUM(InputData[[#This Row],[DATE]])</f>
        <v>50</v>
      </c>
    </row>
    <row r="780" spans="1:10" x14ac:dyDescent="0.25">
      <c r="A780" s="3">
        <v>44538</v>
      </c>
      <c r="B780" s="6" t="s">
        <v>78</v>
      </c>
      <c r="C780" s="4" t="s">
        <v>41</v>
      </c>
      <c r="D780" s="5">
        <v>173.88</v>
      </c>
      <c r="E780" s="1">
        <v>32</v>
      </c>
      <c r="F780" s="1">
        <f>InputData[[#This Row],[UNIT PRICE ($)]]*InputData[[#This Row],[QUANTITY]]</f>
        <v>5564.16</v>
      </c>
      <c r="G780" s="1" t="str">
        <f>VLOOKUP(InputData[[#This Row],[CUSTOMER NAME]],Country[#All],2,0)</f>
        <v>India</v>
      </c>
      <c r="H780" s="1" t="str">
        <f>VLOOKUP(InputData[[#This Row],[CUSTOMER NAME]],Country[#All],3,0)</f>
        <v>Central</v>
      </c>
      <c r="I780" s="1" t="str">
        <f>TEXT(InputData[[#This Row],[DATE]],"MMM")</f>
        <v>Dec</v>
      </c>
      <c r="J780" s="1">
        <f>WEEKNUM(InputData[[#This Row],[DATE]])</f>
        <v>50</v>
      </c>
    </row>
    <row r="781" spans="1:10" x14ac:dyDescent="0.25">
      <c r="A781" s="3">
        <v>44538</v>
      </c>
      <c r="B781" s="6" t="s">
        <v>87</v>
      </c>
      <c r="C781" s="4" t="s">
        <v>44</v>
      </c>
      <c r="D781" s="5">
        <v>82.08</v>
      </c>
      <c r="E781" s="1">
        <v>14</v>
      </c>
      <c r="F781" s="1">
        <f>InputData[[#This Row],[UNIT PRICE ($)]]*InputData[[#This Row],[QUANTITY]]</f>
        <v>1149.1199999999999</v>
      </c>
      <c r="G781" s="1" t="str">
        <f>VLOOKUP(InputData[[#This Row],[CUSTOMER NAME]],Country[#All],2,0)</f>
        <v>France</v>
      </c>
      <c r="H781" s="1" t="str">
        <f>VLOOKUP(InputData[[#This Row],[CUSTOMER NAME]],Country[#All],3,0)</f>
        <v>Export</v>
      </c>
      <c r="I781" s="1" t="str">
        <f>TEXT(InputData[[#This Row],[DATE]],"MMM")</f>
        <v>Dec</v>
      </c>
      <c r="J781" s="1">
        <f>WEEKNUM(InputData[[#This Row],[DATE]])</f>
        <v>50</v>
      </c>
    </row>
    <row r="782" spans="1:10" x14ac:dyDescent="0.25">
      <c r="A782" s="3">
        <v>44539</v>
      </c>
      <c r="B782" s="6" t="s">
        <v>75</v>
      </c>
      <c r="C782" s="4" t="s">
        <v>7</v>
      </c>
      <c r="D782" s="5">
        <v>47.730000000000004</v>
      </c>
      <c r="E782" s="1">
        <v>16</v>
      </c>
      <c r="F782" s="1">
        <f>InputData[[#This Row],[UNIT PRICE ($)]]*InputData[[#This Row],[QUANTITY]]</f>
        <v>763.68000000000006</v>
      </c>
      <c r="G782" s="1" t="str">
        <f>VLOOKUP(InputData[[#This Row],[CUSTOMER NAME]],Country[#All],2,0)</f>
        <v>Russia</v>
      </c>
      <c r="H782" s="1" t="str">
        <f>VLOOKUP(InputData[[#This Row],[CUSTOMER NAME]],Country[#All],3,0)</f>
        <v>Export</v>
      </c>
      <c r="I782" s="1" t="str">
        <f>TEXT(InputData[[#This Row],[DATE]],"MMM")</f>
        <v>Dec</v>
      </c>
      <c r="J782" s="1">
        <f>WEEKNUM(InputData[[#This Row],[DATE]])</f>
        <v>50</v>
      </c>
    </row>
    <row r="783" spans="1:10" x14ac:dyDescent="0.25">
      <c r="A783" s="3">
        <v>44540</v>
      </c>
      <c r="B783" s="6" t="s">
        <v>75</v>
      </c>
      <c r="C783" s="4" t="s">
        <v>17</v>
      </c>
      <c r="D783" s="5">
        <v>156.78</v>
      </c>
      <c r="E783" s="1">
        <v>6</v>
      </c>
      <c r="F783" s="1">
        <f>InputData[[#This Row],[UNIT PRICE ($)]]*InputData[[#This Row],[QUANTITY]]</f>
        <v>940.68000000000006</v>
      </c>
      <c r="G783" s="1" t="str">
        <f>VLOOKUP(InputData[[#This Row],[CUSTOMER NAME]],Country[#All],2,0)</f>
        <v>Russia</v>
      </c>
      <c r="H783" s="1" t="str">
        <f>VLOOKUP(InputData[[#This Row],[CUSTOMER NAME]],Country[#All],3,0)</f>
        <v>Export</v>
      </c>
      <c r="I783" s="1" t="str">
        <f>TEXT(InputData[[#This Row],[DATE]],"MMM")</f>
        <v>Dec</v>
      </c>
      <c r="J783" s="1">
        <f>WEEKNUM(InputData[[#This Row],[DATE]])</f>
        <v>50</v>
      </c>
    </row>
    <row r="784" spans="1:10" x14ac:dyDescent="0.25">
      <c r="A784" s="3">
        <v>44540</v>
      </c>
      <c r="B784" s="6" t="s">
        <v>117</v>
      </c>
      <c r="C784" s="4" t="s">
        <v>37</v>
      </c>
      <c r="D784" s="5">
        <v>85.76</v>
      </c>
      <c r="E784" s="1">
        <v>19</v>
      </c>
      <c r="F784" s="1">
        <f>InputData[[#This Row],[UNIT PRICE ($)]]*InputData[[#This Row],[QUANTITY]]</f>
        <v>1629.44</v>
      </c>
      <c r="G784" s="1" t="str">
        <f>VLOOKUP(InputData[[#This Row],[CUSTOMER NAME]],Country[#All],2,0)</f>
        <v>United States of America</v>
      </c>
      <c r="H784" s="1" t="str">
        <f>VLOOKUP(InputData[[#This Row],[CUSTOMER NAME]],Country[#All],3,0)</f>
        <v>Export</v>
      </c>
      <c r="I784" s="1" t="str">
        <f>TEXT(InputData[[#This Row],[DATE]],"MMM")</f>
        <v>Dec</v>
      </c>
      <c r="J784" s="1">
        <f>WEEKNUM(InputData[[#This Row],[DATE]])</f>
        <v>50</v>
      </c>
    </row>
    <row r="785" spans="1:10" x14ac:dyDescent="0.25">
      <c r="A785" s="3">
        <v>44541</v>
      </c>
      <c r="B785" s="6" t="s">
        <v>109</v>
      </c>
      <c r="C785" s="4" t="s">
        <v>14</v>
      </c>
      <c r="D785" s="5">
        <v>146.72</v>
      </c>
      <c r="E785" s="1">
        <v>10</v>
      </c>
      <c r="F785" s="1">
        <f>InputData[[#This Row],[UNIT PRICE ($)]]*InputData[[#This Row],[QUANTITY]]</f>
        <v>1467.2</v>
      </c>
      <c r="G785" s="1" t="str">
        <f>VLOOKUP(InputData[[#This Row],[CUSTOMER NAME]],Country[#All],2,0)</f>
        <v>Pakistan</v>
      </c>
      <c r="H785" s="1" t="str">
        <f>VLOOKUP(InputData[[#This Row],[CUSTOMER NAME]],Country[#All],3,0)</f>
        <v>Export</v>
      </c>
      <c r="I785" s="1" t="str">
        <f>TEXT(InputData[[#This Row],[DATE]],"MMM")</f>
        <v>Dec</v>
      </c>
      <c r="J785" s="1">
        <f>WEEKNUM(InputData[[#This Row],[DATE]])</f>
        <v>50</v>
      </c>
    </row>
    <row r="786" spans="1:10" x14ac:dyDescent="0.25">
      <c r="A786" s="3">
        <v>44541</v>
      </c>
      <c r="B786" s="6" t="s">
        <v>73</v>
      </c>
      <c r="C786" s="4" t="s">
        <v>27</v>
      </c>
      <c r="D786" s="5">
        <v>57.120000000000005</v>
      </c>
      <c r="E786" s="1">
        <v>5</v>
      </c>
      <c r="F786" s="1">
        <f>InputData[[#This Row],[UNIT PRICE ($)]]*InputData[[#This Row],[QUANTITY]]</f>
        <v>285.60000000000002</v>
      </c>
      <c r="G786" s="1" t="str">
        <f>VLOOKUP(InputData[[#This Row],[CUSTOMER NAME]],Country[#All],2,0)</f>
        <v>India</v>
      </c>
      <c r="H786" s="1" t="str">
        <f>VLOOKUP(InputData[[#This Row],[CUSTOMER NAME]],Country[#All],3,0)</f>
        <v>East</v>
      </c>
      <c r="I786" s="1" t="str">
        <f>TEXT(InputData[[#This Row],[DATE]],"MMM")</f>
        <v>Dec</v>
      </c>
      <c r="J786" s="1">
        <f>WEEKNUM(InputData[[#This Row],[DATE]])</f>
        <v>50</v>
      </c>
    </row>
    <row r="787" spans="1:10" x14ac:dyDescent="0.25">
      <c r="A787" s="3">
        <v>44541</v>
      </c>
      <c r="B787" s="6" t="s">
        <v>82</v>
      </c>
      <c r="C787" s="4" t="s">
        <v>13</v>
      </c>
      <c r="D787" s="5">
        <v>122.08</v>
      </c>
      <c r="E787" s="1">
        <v>9</v>
      </c>
      <c r="F787" s="1">
        <f>InputData[[#This Row],[UNIT PRICE ($)]]*InputData[[#This Row],[QUANTITY]]</f>
        <v>1098.72</v>
      </c>
      <c r="G787" s="1" t="str">
        <f>VLOOKUP(InputData[[#This Row],[CUSTOMER NAME]],Country[#All],2,0)</f>
        <v>India</v>
      </c>
      <c r="H787" s="1" t="str">
        <f>VLOOKUP(InputData[[#This Row],[CUSTOMER NAME]],Country[#All],3,0)</f>
        <v>Western</v>
      </c>
      <c r="I787" s="1" t="str">
        <f>TEXT(InputData[[#This Row],[DATE]],"MMM")</f>
        <v>Dec</v>
      </c>
      <c r="J787" s="1">
        <f>WEEKNUM(InputData[[#This Row],[DATE]])</f>
        <v>50</v>
      </c>
    </row>
    <row r="788" spans="1:10" x14ac:dyDescent="0.25">
      <c r="A788" s="3">
        <v>44542</v>
      </c>
      <c r="B788" s="6" t="s">
        <v>77</v>
      </c>
      <c r="C788" s="4" t="s">
        <v>41</v>
      </c>
      <c r="D788" s="5">
        <v>173.88</v>
      </c>
      <c r="E788" s="1">
        <v>10</v>
      </c>
      <c r="F788" s="1">
        <f>InputData[[#This Row],[UNIT PRICE ($)]]*InputData[[#This Row],[QUANTITY]]</f>
        <v>1738.8</v>
      </c>
      <c r="G788" s="1" t="str">
        <f>VLOOKUP(InputData[[#This Row],[CUSTOMER NAME]],Country[#All],2,0)</f>
        <v>India</v>
      </c>
      <c r="H788" s="1" t="str">
        <f>VLOOKUP(InputData[[#This Row],[CUSTOMER NAME]],Country[#All],3,0)</f>
        <v>Western</v>
      </c>
      <c r="I788" s="1" t="str">
        <f>TEXT(InputData[[#This Row],[DATE]],"MMM")</f>
        <v>Dec</v>
      </c>
      <c r="J788" s="1">
        <f>WEEKNUM(InputData[[#This Row],[DATE]])</f>
        <v>51</v>
      </c>
    </row>
    <row r="789" spans="1:10" x14ac:dyDescent="0.25">
      <c r="A789" s="3">
        <v>44542</v>
      </c>
      <c r="B789" s="6" t="s">
        <v>78</v>
      </c>
      <c r="C789" s="4" t="s">
        <v>30</v>
      </c>
      <c r="D789" s="5">
        <v>201.28</v>
      </c>
      <c r="E789" s="1">
        <v>9</v>
      </c>
      <c r="F789" s="1">
        <f>InputData[[#This Row],[UNIT PRICE ($)]]*InputData[[#This Row],[QUANTITY]]</f>
        <v>1811.52</v>
      </c>
      <c r="G789" s="1" t="str">
        <f>VLOOKUP(InputData[[#This Row],[CUSTOMER NAME]],Country[#All],2,0)</f>
        <v>India</v>
      </c>
      <c r="H789" s="1" t="str">
        <f>VLOOKUP(InputData[[#This Row],[CUSTOMER NAME]],Country[#All],3,0)</f>
        <v>Central</v>
      </c>
      <c r="I789" s="1" t="str">
        <f>TEXT(InputData[[#This Row],[DATE]],"MMM")</f>
        <v>Dec</v>
      </c>
      <c r="J789" s="1">
        <f>WEEKNUM(InputData[[#This Row],[DATE]])</f>
        <v>51</v>
      </c>
    </row>
    <row r="790" spans="1:10" x14ac:dyDescent="0.25">
      <c r="A790" s="3">
        <v>44544</v>
      </c>
      <c r="B790" s="6" t="s">
        <v>109</v>
      </c>
      <c r="C790" s="4" t="s">
        <v>12</v>
      </c>
      <c r="D790" s="5">
        <v>94.17</v>
      </c>
      <c r="E790" s="1">
        <v>6</v>
      </c>
      <c r="F790" s="1">
        <f>InputData[[#This Row],[UNIT PRICE ($)]]*InputData[[#This Row],[QUANTITY]]</f>
        <v>565.02</v>
      </c>
      <c r="G790" s="1" t="str">
        <f>VLOOKUP(InputData[[#This Row],[CUSTOMER NAME]],Country[#All],2,0)</f>
        <v>Pakistan</v>
      </c>
      <c r="H790" s="1" t="str">
        <f>VLOOKUP(InputData[[#This Row],[CUSTOMER NAME]],Country[#All],3,0)</f>
        <v>Export</v>
      </c>
      <c r="I790" s="1" t="str">
        <f>TEXT(InputData[[#This Row],[DATE]],"MMM")</f>
        <v>Dec</v>
      </c>
      <c r="J790" s="1">
        <f>WEEKNUM(InputData[[#This Row],[DATE]])</f>
        <v>51</v>
      </c>
    </row>
    <row r="791" spans="1:10" x14ac:dyDescent="0.25">
      <c r="A791" s="3">
        <v>44544</v>
      </c>
      <c r="B791" s="6" t="s">
        <v>72</v>
      </c>
      <c r="C791" s="4" t="s">
        <v>42</v>
      </c>
      <c r="D791" s="5">
        <v>162</v>
      </c>
      <c r="E791" s="1">
        <v>4</v>
      </c>
      <c r="F791" s="1">
        <f>InputData[[#This Row],[UNIT PRICE ($)]]*InputData[[#This Row],[QUANTITY]]</f>
        <v>648</v>
      </c>
      <c r="G791" s="1" t="str">
        <f>VLOOKUP(InputData[[#This Row],[CUSTOMER NAME]],Country[#All],2,0)</f>
        <v>Brazil</v>
      </c>
      <c r="H791" s="1" t="str">
        <f>VLOOKUP(InputData[[#This Row],[CUSTOMER NAME]],Country[#All],3,0)</f>
        <v>Export</v>
      </c>
      <c r="I791" s="1" t="str">
        <f>TEXT(InputData[[#This Row],[DATE]],"MMM")</f>
        <v>Dec</v>
      </c>
      <c r="J791" s="1">
        <f>WEEKNUM(InputData[[#This Row],[DATE]])</f>
        <v>51</v>
      </c>
    </row>
    <row r="792" spans="1:10" x14ac:dyDescent="0.25">
      <c r="A792" s="3">
        <v>44544</v>
      </c>
      <c r="B792" s="6" t="s">
        <v>87</v>
      </c>
      <c r="C792" s="4" t="s">
        <v>5</v>
      </c>
      <c r="D792" s="5">
        <v>155.61000000000001</v>
      </c>
      <c r="E792" s="1">
        <v>4</v>
      </c>
      <c r="F792" s="1">
        <f>InputData[[#This Row],[UNIT PRICE ($)]]*InputData[[#This Row],[QUANTITY]]</f>
        <v>622.44000000000005</v>
      </c>
      <c r="G792" s="1" t="str">
        <f>VLOOKUP(InputData[[#This Row],[CUSTOMER NAME]],Country[#All],2,0)</f>
        <v>France</v>
      </c>
      <c r="H792" s="1" t="str">
        <f>VLOOKUP(InputData[[#This Row],[CUSTOMER NAME]],Country[#All],3,0)</f>
        <v>Export</v>
      </c>
      <c r="I792" s="1" t="str">
        <f>TEXT(InputData[[#This Row],[DATE]],"MMM")</f>
        <v>Dec</v>
      </c>
      <c r="J792" s="1">
        <f>WEEKNUM(InputData[[#This Row],[DATE]])</f>
        <v>51</v>
      </c>
    </row>
    <row r="793" spans="1:10" x14ac:dyDescent="0.25">
      <c r="A793" s="3">
        <v>44545</v>
      </c>
      <c r="B793" s="6" t="s">
        <v>110</v>
      </c>
      <c r="C793" s="4" t="s">
        <v>30</v>
      </c>
      <c r="D793" s="5">
        <v>201.28</v>
      </c>
      <c r="E793" s="1">
        <v>33</v>
      </c>
      <c r="F793" s="1">
        <f>InputData[[#This Row],[UNIT PRICE ($)]]*InputData[[#This Row],[QUANTITY]]</f>
        <v>6642.24</v>
      </c>
      <c r="G793" s="1" t="str">
        <f>VLOOKUP(InputData[[#This Row],[CUSTOMER NAME]],Country[#All],2,0)</f>
        <v>India</v>
      </c>
      <c r="H793" s="1" t="str">
        <f>VLOOKUP(InputData[[#This Row],[CUSTOMER NAME]],Country[#All],3,0)</f>
        <v>Western</v>
      </c>
      <c r="I793" s="1" t="str">
        <f>TEXT(InputData[[#This Row],[DATE]],"MMM")</f>
        <v>Dec</v>
      </c>
      <c r="J793" s="1">
        <f>WEEKNUM(InputData[[#This Row],[DATE]])</f>
        <v>51</v>
      </c>
    </row>
    <row r="794" spans="1:10" x14ac:dyDescent="0.25">
      <c r="A794" s="3">
        <v>44545</v>
      </c>
      <c r="B794" s="6" t="s">
        <v>73</v>
      </c>
      <c r="C794" s="4" t="s">
        <v>9</v>
      </c>
      <c r="D794" s="5">
        <v>7.8599999999999994</v>
      </c>
      <c r="E794" s="1">
        <v>13</v>
      </c>
      <c r="F794" s="1">
        <f>InputData[[#This Row],[UNIT PRICE ($)]]*InputData[[#This Row],[QUANTITY]]</f>
        <v>102.17999999999999</v>
      </c>
      <c r="G794" s="1" t="str">
        <f>VLOOKUP(InputData[[#This Row],[CUSTOMER NAME]],Country[#All],2,0)</f>
        <v>India</v>
      </c>
      <c r="H794" s="1" t="str">
        <f>VLOOKUP(InputData[[#This Row],[CUSTOMER NAME]],Country[#All],3,0)</f>
        <v>East</v>
      </c>
      <c r="I794" s="1" t="str">
        <f>TEXT(InputData[[#This Row],[DATE]],"MMM")</f>
        <v>Dec</v>
      </c>
      <c r="J794" s="1">
        <f>WEEKNUM(InputData[[#This Row],[DATE]])</f>
        <v>51</v>
      </c>
    </row>
    <row r="795" spans="1:10" x14ac:dyDescent="0.25">
      <c r="A795" s="3">
        <v>44545</v>
      </c>
      <c r="B795" s="6" t="s">
        <v>82</v>
      </c>
      <c r="C795" s="4" t="s">
        <v>16</v>
      </c>
      <c r="D795" s="5">
        <v>16.64</v>
      </c>
      <c r="E795" s="1">
        <v>6</v>
      </c>
      <c r="F795" s="1">
        <f>InputData[[#This Row],[UNIT PRICE ($)]]*InputData[[#This Row],[QUANTITY]]</f>
        <v>99.84</v>
      </c>
      <c r="G795" s="1" t="str">
        <f>VLOOKUP(InputData[[#This Row],[CUSTOMER NAME]],Country[#All],2,0)</f>
        <v>India</v>
      </c>
      <c r="H795" s="1" t="str">
        <f>VLOOKUP(InputData[[#This Row],[CUSTOMER NAME]],Country[#All],3,0)</f>
        <v>Western</v>
      </c>
      <c r="I795" s="1" t="str">
        <f>TEXT(InputData[[#This Row],[DATE]],"MMM")</f>
        <v>Dec</v>
      </c>
      <c r="J795" s="1">
        <f>WEEKNUM(InputData[[#This Row],[DATE]])</f>
        <v>51</v>
      </c>
    </row>
    <row r="796" spans="1:10" x14ac:dyDescent="0.25">
      <c r="A796" s="3">
        <v>44546</v>
      </c>
      <c r="B796" s="6" t="s">
        <v>78</v>
      </c>
      <c r="C796" s="4" t="s">
        <v>10</v>
      </c>
      <c r="D796" s="5">
        <v>164.28</v>
      </c>
      <c r="E796" s="1">
        <v>9</v>
      </c>
      <c r="F796" s="1">
        <f>InputData[[#This Row],[UNIT PRICE ($)]]*InputData[[#This Row],[QUANTITY]]</f>
        <v>1478.52</v>
      </c>
      <c r="G796" s="1" t="str">
        <f>VLOOKUP(InputData[[#This Row],[CUSTOMER NAME]],Country[#All],2,0)</f>
        <v>India</v>
      </c>
      <c r="H796" s="1" t="str">
        <f>VLOOKUP(InputData[[#This Row],[CUSTOMER NAME]],Country[#All],3,0)</f>
        <v>Central</v>
      </c>
      <c r="I796" s="1" t="str">
        <f>TEXT(InputData[[#This Row],[DATE]],"MMM")</f>
        <v>Dec</v>
      </c>
      <c r="J796" s="1">
        <f>WEEKNUM(InputData[[#This Row],[DATE]])</f>
        <v>51</v>
      </c>
    </row>
    <row r="797" spans="1:10" x14ac:dyDescent="0.25">
      <c r="A797" s="3">
        <v>44547</v>
      </c>
      <c r="B797" s="6" t="s">
        <v>63</v>
      </c>
      <c r="C797" s="4" t="s">
        <v>26</v>
      </c>
      <c r="D797" s="5">
        <v>24.66</v>
      </c>
      <c r="E797" s="1">
        <v>20</v>
      </c>
      <c r="F797" s="1">
        <f>InputData[[#This Row],[UNIT PRICE ($)]]*InputData[[#This Row],[QUANTITY]]</f>
        <v>493.2</v>
      </c>
      <c r="G797" s="1" t="str">
        <f>VLOOKUP(InputData[[#This Row],[CUSTOMER NAME]],Country[#All],2,0)</f>
        <v>Saudi Arabia</v>
      </c>
      <c r="H797" s="1" t="str">
        <f>VLOOKUP(InputData[[#This Row],[CUSTOMER NAME]],Country[#All],3,0)</f>
        <v>Export</v>
      </c>
      <c r="I797" s="1" t="str">
        <f>TEXT(InputData[[#This Row],[DATE]],"MMM")</f>
        <v>Dec</v>
      </c>
      <c r="J797" s="1">
        <f>WEEKNUM(InputData[[#This Row],[DATE]])</f>
        <v>51</v>
      </c>
    </row>
    <row r="798" spans="1:10" x14ac:dyDescent="0.25">
      <c r="A798" s="3">
        <v>44548</v>
      </c>
      <c r="B798" s="6" t="s">
        <v>67</v>
      </c>
      <c r="C798" s="4" t="s">
        <v>22</v>
      </c>
      <c r="D798" s="5">
        <v>141.57</v>
      </c>
      <c r="E798" s="1">
        <v>8</v>
      </c>
      <c r="F798" s="1">
        <f>InputData[[#This Row],[UNIT PRICE ($)]]*InputData[[#This Row],[QUANTITY]]</f>
        <v>1132.56</v>
      </c>
      <c r="G798" s="1" t="str">
        <f>VLOOKUP(InputData[[#This Row],[CUSTOMER NAME]],Country[#All],2,0)</f>
        <v>United Kingdom</v>
      </c>
      <c r="H798" s="1" t="str">
        <f>VLOOKUP(InputData[[#This Row],[CUSTOMER NAME]],Country[#All],3,0)</f>
        <v>Export</v>
      </c>
      <c r="I798" s="1" t="str">
        <f>TEXT(InputData[[#This Row],[DATE]],"MMM")</f>
        <v>Dec</v>
      </c>
      <c r="J798" s="1">
        <f>WEEKNUM(InputData[[#This Row],[DATE]])</f>
        <v>51</v>
      </c>
    </row>
    <row r="799" spans="1:10" x14ac:dyDescent="0.25">
      <c r="A799" s="3">
        <v>44548</v>
      </c>
      <c r="B799" s="6" t="s">
        <v>82</v>
      </c>
      <c r="C799" s="4" t="s">
        <v>3</v>
      </c>
      <c r="D799" s="5">
        <v>80.94</v>
      </c>
      <c r="E799" s="1">
        <v>2</v>
      </c>
      <c r="F799" s="1">
        <f>InputData[[#This Row],[UNIT PRICE ($)]]*InputData[[#This Row],[QUANTITY]]</f>
        <v>161.88</v>
      </c>
      <c r="G799" s="1" t="str">
        <f>VLOOKUP(InputData[[#This Row],[CUSTOMER NAME]],Country[#All],2,0)</f>
        <v>India</v>
      </c>
      <c r="H799" s="1" t="str">
        <f>VLOOKUP(InputData[[#This Row],[CUSTOMER NAME]],Country[#All],3,0)</f>
        <v>Western</v>
      </c>
      <c r="I799" s="1" t="str">
        <f>TEXT(InputData[[#This Row],[DATE]],"MMM")</f>
        <v>Dec</v>
      </c>
      <c r="J799" s="1">
        <f>WEEKNUM(InputData[[#This Row],[DATE]])</f>
        <v>51</v>
      </c>
    </row>
    <row r="800" spans="1:10" x14ac:dyDescent="0.25">
      <c r="A800" s="3">
        <v>44549</v>
      </c>
      <c r="B800" s="6" t="s">
        <v>66</v>
      </c>
      <c r="C800" s="4" t="s">
        <v>35</v>
      </c>
      <c r="D800" s="5">
        <v>6.7</v>
      </c>
      <c r="E800" s="1">
        <v>20</v>
      </c>
      <c r="F800" s="1">
        <f>InputData[[#This Row],[UNIT PRICE ($)]]*InputData[[#This Row],[QUANTITY]]</f>
        <v>134</v>
      </c>
      <c r="G800" s="1" t="str">
        <f>VLOOKUP(InputData[[#This Row],[CUSTOMER NAME]],Country[#All],2,0)</f>
        <v>Indonesia</v>
      </c>
      <c r="H800" s="1" t="str">
        <f>VLOOKUP(InputData[[#This Row],[CUSTOMER NAME]],Country[#All],3,0)</f>
        <v>Export</v>
      </c>
      <c r="I800" s="1" t="str">
        <f>TEXT(InputData[[#This Row],[DATE]],"MMM")</f>
        <v>Dec</v>
      </c>
      <c r="J800" s="1">
        <f>WEEKNUM(InputData[[#This Row],[DATE]])</f>
        <v>52</v>
      </c>
    </row>
    <row r="801" spans="1:10" x14ac:dyDescent="0.25">
      <c r="A801" s="3">
        <v>44549</v>
      </c>
      <c r="B801" s="6" t="s">
        <v>110</v>
      </c>
      <c r="C801" s="4" t="s">
        <v>44</v>
      </c>
      <c r="D801" s="5">
        <v>82.08</v>
      </c>
      <c r="E801" s="1">
        <v>7</v>
      </c>
      <c r="F801" s="1">
        <f>InputData[[#This Row],[UNIT PRICE ($)]]*InputData[[#This Row],[QUANTITY]]</f>
        <v>574.55999999999995</v>
      </c>
      <c r="G801" s="1" t="str">
        <f>VLOOKUP(InputData[[#This Row],[CUSTOMER NAME]],Country[#All],2,0)</f>
        <v>India</v>
      </c>
      <c r="H801" s="1" t="str">
        <f>VLOOKUP(InputData[[#This Row],[CUSTOMER NAME]],Country[#All],3,0)</f>
        <v>Western</v>
      </c>
      <c r="I801" s="1" t="str">
        <f>TEXT(InputData[[#This Row],[DATE]],"MMM")</f>
        <v>Dec</v>
      </c>
      <c r="J801" s="1">
        <f>WEEKNUM(InputData[[#This Row],[DATE]])</f>
        <v>52</v>
      </c>
    </row>
    <row r="802" spans="1:10" x14ac:dyDescent="0.25">
      <c r="A802" s="3">
        <v>44549</v>
      </c>
      <c r="B802" s="6" t="s">
        <v>110</v>
      </c>
      <c r="C802" s="4" t="s">
        <v>9</v>
      </c>
      <c r="D802" s="5">
        <v>7.8599999999999994</v>
      </c>
      <c r="E802" s="1">
        <v>11</v>
      </c>
      <c r="F802" s="1">
        <f>InputData[[#This Row],[UNIT PRICE ($)]]*InputData[[#This Row],[QUANTITY]]</f>
        <v>86.46</v>
      </c>
      <c r="G802" s="1" t="str">
        <f>VLOOKUP(InputData[[#This Row],[CUSTOMER NAME]],Country[#All],2,0)</f>
        <v>India</v>
      </c>
      <c r="H802" s="1" t="str">
        <f>VLOOKUP(InputData[[#This Row],[CUSTOMER NAME]],Country[#All],3,0)</f>
        <v>Western</v>
      </c>
      <c r="I802" s="1" t="str">
        <f>TEXT(InputData[[#This Row],[DATE]],"MMM")</f>
        <v>Dec</v>
      </c>
      <c r="J802" s="1">
        <f>WEEKNUM(InputData[[#This Row],[DATE]])</f>
        <v>52</v>
      </c>
    </row>
    <row r="803" spans="1:10" x14ac:dyDescent="0.25">
      <c r="A803" s="3">
        <v>44549</v>
      </c>
      <c r="B803" s="6" t="s">
        <v>73</v>
      </c>
      <c r="C803" s="4" t="s">
        <v>29</v>
      </c>
      <c r="D803" s="5">
        <v>53.11</v>
      </c>
      <c r="E803" s="1">
        <v>3</v>
      </c>
      <c r="F803" s="1">
        <f>InputData[[#This Row],[UNIT PRICE ($)]]*InputData[[#This Row],[QUANTITY]]</f>
        <v>159.32999999999998</v>
      </c>
      <c r="G803" s="1" t="str">
        <f>VLOOKUP(InputData[[#This Row],[CUSTOMER NAME]],Country[#All],2,0)</f>
        <v>India</v>
      </c>
      <c r="H803" s="1" t="str">
        <f>VLOOKUP(InputData[[#This Row],[CUSTOMER NAME]],Country[#All],3,0)</f>
        <v>East</v>
      </c>
      <c r="I803" s="1" t="str">
        <f>TEXT(InputData[[#This Row],[DATE]],"MMM")</f>
        <v>Dec</v>
      </c>
      <c r="J803" s="1">
        <f>WEEKNUM(InputData[[#This Row],[DATE]])</f>
        <v>52</v>
      </c>
    </row>
    <row r="804" spans="1:10" x14ac:dyDescent="0.25">
      <c r="A804" s="3">
        <v>44549</v>
      </c>
      <c r="B804" s="6" t="s">
        <v>74</v>
      </c>
      <c r="C804" s="4" t="s">
        <v>11</v>
      </c>
      <c r="D804" s="5">
        <v>48.4</v>
      </c>
      <c r="E804" s="1">
        <v>14</v>
      </c>
      <c r="F804" s="1">
        <f>InputData[[#This Row],[UNIT PRICE ($)]]*InputData[[#This Row],[QUANTITY]]</f>
        <v>677.6</v>
      </c>
      <c r="G804" s="1" t="str">
        <f>VLOOKUP(InputData[[#This Row],[CUSTOMER NAME]],Country[#All],2,0)</f>
        <v>Brazil</v>
      </c>
      <c r="H804" s="1" t="str">
        <f>VLOOKUP(InputData[[#This Row],[CUSTOMER NAME]],Country[#All],3,0)</f>
        <v>Export</v>
      </c>
      <c r="I804" s="1" t="str">
        <f>TEXT(InputData[[#This Row],[DATE]],"MMM")</f>
        <v>Dec</v>
      </c>
      <c r="J804" s="1">
        <f>WEEKNUM(InputData[[#This Row],[DATE]])</f>
        <v>52</v>
      </c>
    </row>
    <row r="805" spans="1:10" x14ac:dyDescent="0.25">
      <c r="A805" s="3">
        <v>44549</v>
      </c>
      <c r="B805" s="6" t="s">
        <v>75</v>
      </c>
      <c r="C805" s="4" t="s">
        <v>23</v>
      </c>
      <c r="D805" s="5">
        <v>149.46</v>
      </c>
      <c r="E805" s="1">
        <v>12</v>
      </c>
      <c r="F805" s="1">
        <f>InputData[[#This Row],[UNIT PRICE ($)]]*InputData[[#This Row],[QUANTITY]]</f>
        <v>1793.52</v>
      </c>
      <c r="G805" s="1" t="str">
        <f>VLOOKUP(InputData[[#This Row],[CUSTOMER NAME]],Country[#All],2,0)</f>
        <v>Russia</v>
      </c>
      <c r="H805" s="1" t="str">
        <f>VLOOKUP(InputData[[#This Row],[CUSTOMER NAME]],Country[#All],3,0)</f>
        <v>Export</v>
      </c>
      <c r="I805" s="1" t="str">
        <f>TEXT(InputData[[#This Row],[DATE]],"MMM")</f>
        <v>Dec</v>
      </c>
      <c r="J805" s="1">
        <f>WEEKNUM(InputData[[#This Row],[DATE]])</f>
        <v>52</v>
      </c>
    </row>
    <row r="806" spans="1:10" x14ac:dyDescent="0.25">
      <c r="A806" s="3">
        <v>44549</v>
      </c>
      <c r="B806" s="6" t="s">
        <v>78</v>
      </c>
      <c r="C806" s="4" t="s">
        <v>23</v>
      </c>
      <c r="D806" s="5">
        <v>149.46</v>
      </c>
      <c r="E806" s="1">
        <v>13</v>
      </c>
      <c r="F806" s="1">
        <f>InputData[[#This Row],[UNIT PRICE ($)]]*InputData[[#This Row],[QUANTITY]]</f>
        <v>1942.98</v>
      </c>
      <c r="G806" s="1" t="str">
        <f>VLOOKUP(InputData[[#This Row],[CUSTOMER NAME]],Country[#All],2,0)</f>
        <v>India</v>
      </c>
      <c r="H806" s="1" t="str">
        <f>VLOOKUP(InputData[[#This Row],[CUSTOMER NAME]],Country[#All],3,0)</f>
        <v>Central</v>
      </c>
      <c r="I806" s="1" t="str">
        <f>TEXT(InputData[[#This Row],[DATE]],"MMM")</f>
        <v>Dec</v>
      </c>
      <c r="J806" s="1">
        <f>WEEKNUM(InputData[[#This Row],[DATE]])</f>
        <v>52</v>
      </c>
    </row>
    <row r="807" spans="1:10" x14ac:dyDescent="0.25">
      <c r="A807" s="3">
        <v>44549</v>
      </c>
      <c r="B807" s="6" t="s">
        <v>84</v>
      </c>
      <c r="C807" s="4" t="s">
        <v>11</v>
      </c>
      <c r="D807" s="5">
        <v>48.4</v>
      </c>
      <c r="E807" s="1">
        <v>10</v>
      </c>
      <c r="F807" s="1">
        <f>InputData[[#This Row],[UNIT PRICE ($)]]*InputData[[#This Row],[QUANTITY]]</f>
        <v>484</v>
      </c>
      <c r="G807" s="1" t="str">
        <f>VLOOKUP(InputData[[#This Row],[CUSTOMER NAME]],Country[#All],2,0)</f>
        <v>Ethiopia</v>
      </c>
      <c r="H807" s="1" t="str">
        <f>VLOOKUP(InputData[[#This Row],[CUSTOMER NAME]],Country[#All],3,0)</f>
        <v>Export</v>
      </c>
      <c r="I807" s="1" t="str">
        <f>TEXT(InputData[[#This Row],[DATE]],"MMM")</f>
        <v>Dec</v>
      </c>
      <c r="J807" s="1">
        <f>WEEKNUM(InputData[[#This Row],[DATE]])</f>
        <v>52</v>
      </c>
    </row>
    <row r="808" spans="1:10" x14ac:dyDescent="0.25">
      <c r="A808" s="3">
        <v>44550</v>
      </c>
      <c r="B808" s="6" t="s">
        <v>64</v>
      </c>
      <c r="C808" s="4" t="s">
        <v>12</v>
      </c>
      <c r="D808" s="5">
        <v>94.17</v>
      </c>
      <c r="E808" s="1">
        <v>14</v>
      </c>
      <c r="F808" s="1">
        <f>InputData[[#This Row],[UNIT PRICE ($)]]*InputData[[#This Row],[QUANTITY]]</f>
        <v>1318.38</v>
      </c>
      <c r="G808" s="1" t="str">
        <f>VLOOKUP(InputData[[#This Row],[CUSTOMER NAME]],Country[#All],2,0)</f>
        <v>India</v>
      </c>
      <c r="H808" s="1" t="str">
        <f>VLOOKUP(InputData[[#This Row],[CUSTOMER NAME]],Country[#All],3,0)</f>
        <v>Northeast</v>
      </c>
      <c r="I808" s="1" t="str">
        <f>TEXT(InputData[[#This Row],[DATE]],"MMM")</f>
        <v>Dec</v>
      </c>
      <c r="J808" s="1">
        <f>WEEKNUM(InputData[[#This Row],[DATE]])</f>
        <v>52</v>
      </c>
    </row>
    <row r="809" spans="1:10" x14ac:dyDescent="0.25">
      <c r="A809" s="3">
        <v>44550</v>
      </c>
      <c r="B809" s="6" t="s">
        <v>77</v>
      </c>
      <c r="C809" s="4" t="s">
        <v>35</v>
      </c>
      <c r="D809" s="5">
        <v>6.7</v>
      </c>
      <c r="E809" s="1">
        <v>24</v>
      </c>
      <c r="F809" s="1">
        <f>InputData[[#This Row],[UNIT PRICE ($)]]*InputData[[#This Row],[QUANTITY]]</f>
        <v>160.80000000000001</v>
      </c>
      <c r="G809" s="1" t="str">
        <f>VLOOKUP(InputData[[#This Row],[CUSTOMER NAME]],Country[#All],2,0)</f>
        <v>India</v>
      </c>
      <c r="H809" s="1" t="str">
        <f>VLOOKUP(InputData[[#This Row],[CUSTOMER NAME]],Country[#All],3,0)</f>
        <v>Western</v>
      </c>
      <c r="I809" s="1" t="str">
        <f>TEXT(InputData[[#This Row],[DATE]],"MMM")</f>
        <v>Dec</v>
      </c>
      <c r="J809" s="1">
        <f>WEEKNUM(InputData[[#This Row],[DATE]])</f>
        <v>52</v>
      </c>
    </row>
    <row r="810" spans="1:10" x14ac:dyDescent="0.25">
      <c r="A810" s="3">
        <v>44551</v>
      </c>
      <c r="B810" s="6" t="s">
        <v>63</v>
      </c>
      <c r="C810" s="4" t="s">
        <v>6</v>
      </c>
      <c r="D810" s="5">
        <v>85.5</v>
      </c>
      <c r="E810" s="1">
        <v>10</v>
      </c>
      <c r="F810" s="1">
        <f>InputData[[#This Row],[UNIT PRICE ($)]]*InputData[[#This Row],[QUANTITY]]</f>
        <v>855</v>
      </c>
      <c r="G810" s="1" t="str">
        <f>VLOOKUP(InputData[[#This Row],[CUSTOMER NAME]],Country[#All],2,0)</f>
        <v>Saudi Arabia</v>
      </c>
      <c r="H810" s="1" t="str">
        <f>VLOOKUP(InputData[[#This Row],[CUSTOMER NAME]],Country[#All],3,0)</f>
        <v>Export</v>
      </c>
      <c r="I810" s="1" t="str">
        <f>TEXT(InputData[[#This Row],[DATE]],"MMM")</f>
        <v>Dec</v>
      </c>
      <c r="J810" s="1">
        <f>WEEKNUM(InputData[[#This Row],[DATE]])</f>
        <v>52</v>
      </c>
    </row>
    <row r="811" spans="1:10" x14ac:dyDescent="0.25">
      <c r="A811" s="3">
        <v>44551</v>
      </c>
      <c r="B811" s="6" t="s">
        <v>112</v>
      </c>
      <c r="C811" s="4" t="s">
        <v>26</v>
      </c>
      <c r="D811" s="5">
        <v>24.66</v>
      </c>
      <c r="E811" s="1">
        <v>10</v>
      </c>
      <c r="F811" s="1">
        <f>InputData[[#This Row],[UNIT PRICE ($)]]*InputData[[#This Row],[QUANTITY]]</f>
        <v>246.6</v>
      </c>
      <c r="G811" s="1" t="str">
        <f>VLOOKUP(InputData[[#This Row],[CUSTOMER NAME]],Country[#All],2,0)</f>
        <v>India</v>
      </c>
      <c r="H811" s="1" t="str">
        <f>VLOOKUP(InputData[[#This Row],[CUSTOMER NAME]],Country[#All],3,0)</f>
        <v>North</v>
      </c>
      <c r="I811" s="1" t="str">
        <f>TEXT(InputData[[#This Row],[DATE]],"MMM")</f>
        <v>Dec</v>
      </c>
      <c r="J811" s="1">
        <f>WEEKNUM(InputData[[#This Row],[DATE]])</f>
        <v>52</v>
      </c>
    </row>
    <row r="812" spans="1:10" x14ac:dyDescent="0.25">
      <c r="A812" s="3">
        <v>44551</v>
      </c>
      <c r="B812" s="6" t="s">
        <v>72</v>
      </c>
      <c r="C812" s="4" t="s">
        <v>20</v>
      </c>
      <c r="D812" s="5">
        <v>76.25</v>
      </c>
      <c r="E812" s="1">
        <v>16</v>
      </c>
      <c r="F812" s="1">
        <f>InputData[[#This Row],[UNIT PRICE ($)]]*InputData[[#This Row],[QUANTITY]]</f>
        <v>1220</v>
      </c>
      <c r="G812" s="1" t="str">
        <f>VLOOKUP(InputData[[#This Row],[CUSTOMER NAME]],Country[#All],2,0)</f>
        <v>Brazil</v>
      </c>
      <c r="H812" s="1" t="str">
        <f>VLOOKUP(InputData[[#This Row],[CUSTOMER NAME]],Country[#All],3,0)</f>
        <v>Export</v>
      </c>
      <c r="I812" s="1" t="str">
        <f>TEXT(InputData[[#This Row],[DATE]],"MMM")</f>
        <v>Dec</v>
      </c>
      <c r="J812" s="1">
        <f>WEEKNUM(InputData[[#This Row],[DATE]])</f>
        <v>52</v>
      </c>
    </row>
    <row r="813" spans="1:10" x14ac:dyDescent="0.25">
      <c r="A813" s="3">
        <v>44551</v>
      </c>
      <c r="B813" s="6" t="s">
        <v>78</v>
      </c>
      <c r="C813" s="4" t="s">
        <v>22</v>
      </c>
      <c r="D813" s="5">
        <v>141.57</v>
      </c>
      <c r="E813" s="1">
        <v>16</v>
      </c>
      <c r="F813" s="1">
        <f>InputData[[#This Row],[UNIT PRICE ($)]]*InputData[[#This Row],[QUANTITY]]</f>
        <v>2265.12</v>
      </c>
      <c r="G813" s="1" t="str">
        <f>VLOOKUP(InputData[[#This Row],[CUSTOMER NAME]],Country[#All],2,0)</f>
        <v>India</v>
      </c>
      <c r="H813" s="1" t="str">
        <f>VLOOKUP(InputData[[#This Row],[CUSTOMER NAME]],Country[#All],3,0)</f>
        <v>Central</v>
      </c>
      <c r="I813" s="1" t="str">
        <f>TEXT(InputData[[#This Row],[DATE]],"MMM")</f>
        <v>Dec</v>
      </c>
      <c r="J813" s="1">
        <f>WEEKNUM(InputData[[#This Row],[DATE]])</f>
        <v>52</v>
      </c>
    </row>
    <row r="814" spans="1:10" x14ac:dyDescent="0.25">
      <c r="A814" s="3">
        <v>44552</v>
      </c>
      <c r="B814" s="6" t="s">
        <v>111</v>
      </c>
      <c r="C814" s="4" t="s">
        <v>41</v>
      </c>
      <c r="D814" s="5">
        <v>173.88</v>
      </c>
      <c r="E814" s="1">
        <v>35</v>
      </c>
      <c r="F814" s="1">
        <f>InputData[[#This Row],[UNIT PRICE ($)]]*InputData[[#This Row],[QUANTITY]]</f>
        <v>6085.8</v>
      </c>
      <c r="G814" s="1" t="str">
        <f>VLOOKUP(InputData[[#This Row],[CUSTOMER NAME]],Country[#All],2,0)</f>
        <v>India</v>
      </c>
      <c r="H814" s="1" t="str">
        <f>VLOOKUP(InputData[[#This Row],[CUSTOMER NAME]],Country[#All],3,0)</f>
        <v>Northeast</v>
      </c>
      <c r="I814" s="1" t="str">
        <f>TEXT(InputData[[#This Row],[DATE]],"MMM")</f>
        <v>Dec</v>
      </c>
      <c r="J814" s="1">
        <f>WEEKNUM(InputData[[#This Row],[DATE]])</f>
        <v>52</v>
      </c>
    </row>
    <row r="815" spans="1:10" x14ac:dyDescent="0.25">
      <c r="A815" s="3">
        <v>44552</v>
      </c>
      <c r="B815" s="6" t="s">
        <v>112</v>
      </c>
      <c r="C815" s="4" t="s">
        <v>42</v>
      </c>
      <c r="D815" s="5">
        <v>162</v>
      </c>
      <c r="E815" s="1">
        <v>5</v>
      </c>
      <c r="F815" s="1">
        <f>InputData[[#This Row],[UNIT PRICE ($)]]*InputData[[#This Row],[QUANTITY]]</f>
        <v>810</v>
      </c>
      <c r="G815" s="1" t="str">
        <f>VLOOKUP(InputData[[#This Row],[CUSTOMER NAME]],Country[#All],2,0)</f>
        <v>India</v>
      </c>
      <c r="H815" s="1" t="str">
        <f>VLOOKUP(InputData[[#This Row],[CUSTOMER NAME]],Country[#All],3,0)</f>
        <v>North</v>
      </c>
      <c r="I815" s="1" t="str">
        <f>TEXT(InputData[[#This Row],[DATE]],"MMM")</f>
        <v>Dec</v>
      </c>
      <c r="J815" s="1">
        <f>WEEKNUM(InputData[[#This Row],[DATE]])</f>
        <v>52</v>
      </c>
    </row>
    <row r="816" spans="1:10" x14ac:dyDescent="0.25">
      <c r="A816" s="3">
        <v>44554</v>
      </c>
      <c r="B816" s="6" t="s">
        <v>72</v>
      </c>
      <c r="C816" s="4" t="s">
        <v>36</v>
      </c>
      <c r="D816" s="5">
        <v>96.3</v>
      </c>
      <c r="E816" s="1">
        <v>8</v>
      </c>
      <c r="F816" s="1">
        <f>InputData[[#This Row],[UNIT PRICE ($)]]*InputData[[#This Row],[QUANTITY]]</f>
        <v>770.4</v>
      </c>
      <c r="G816" s="1" t="str">
        <f>VLOOKUP(InputData[[#This Row],[CUSTOMER NAME]],Country[#All],2,0)</f>
        <v>Brazil</v>
      </c>
      <c r="H816" s="1" t="str">
        <f>VLOOKUP(InputData[[#This Row],[CUSTOMER NAME]],Country[#All],3,0)</f>
        <v>Export</v>
      </c>
      <c r="I816" s="1" t="str">
        <f>TEXT(InputData[[#This Row],[DATE]],"MMM")</f>
        <v>Dec</v>
      </c>
      <c r="J816" s="1">
        <f>WEEKNUM(InputData[[#This Row],[DATE]])</f>
        <v>52</v>
      </c>
    </row>
    <row r="817" spans="1:10" x14ac:dyDescent="0.25">
      <c r="A817" s="3">
        <v>44554</v>
      </c>
      <c r="B817" s="6" t="s">
        <v>80</v>
      </c>
      <c r="C817" s="4" t="s">
        <v>42</v>
      </c>
      <c r="D817" s="5">
        <v>162</v>
      </c>
      <c r="E817" s="1">
        <v>8</v>
      </c>
      <c r="F817" s="1">
        <f>InputData[[#This Row],[UNIT PRICE ($)]]*InputData[[#This Row],[QUANTITY]]</f>
        <v>1296</v>
      </c>
      <c r="G817" s="1" t="str">
        <f>VLOOKUP(InputData[[#This Row],[CUSTOMER NAME]],Country[#All],2,0)</f>
        <v>South Africa</v>
      </c>
      <c r="H817" s="1" t="str">
        <f>VLOOKUP(InputData[[#This Row],[CUSTOMER NAME]],Country[#All],3,0)</f>
        <v>Export</v>
      </c>
      <c r="I817" s="1" t="str">
        <f>TEXT(InputData[[#This Row],[DATE]],"MMM")</f>
        <v>Dec</v>
      </c>
      <c r="J817" s="1">
        <f>WEEKNUM(InputData[[#This Row],[DATE]])</f>
        <v>52</v>
      </c>
    </row>
    <row r="818" spans="1:10" x14ac:dyDescent="0.25">
      <c r="A818" s="3">
        <v>44555</v>
      </c>
      <c r="B818" s="6" t="s">
        <v>61</v>
      </c>
      <c r="C818" s="4" t="s">
        <v>11</v>
      </c>
      <c r="D818" s="5">
        <v>48.4</v>
      </c>
      <c r="E818" s="1">
        <v>29</v>
      </c>
      <c r="F818" s="1">
        <f>InputData[[#This Row],[UNIT PRICE ($)]]*InputData[[#This Row],[QUANTITY]]</f>
        <v>1403.6</v>
      </c>
      <c r="G818" s="1" t="str">
        <f>VLOOKUP(InputData[[#This Row],[CUSTOMER NAME]],Country[#All],2,0)</f>
        <v>Bangladesh</v>
      </c>
      <c r="H818" s="1" t="str">
        <f>VLOOKUP(InputData[[#This Row],[CUSTOMER NAME]],Country[#All],3,0)</f>
        <v>Export</v>
      </c>
      <c r="I818" s="1" t="str">
        <f>TEXT(InputData[[#This Row],[DATE]],"MMM")</f>
        <v>Dec</v>
      </c>
      <c r="J818" s="1">
        <f>WEEKNUM(InputData[[#This Row],[DATE]])</f>
        <v>52</v>
      </c>
    </row>
    <row r="819" spans="1:10" x14ac:dyDescent="0.25">
      <c r="A819" s="3">
        <v>44555</v>
      </c>
      <c r="B819" s="6" t="s">
        <v>61</v>
      </c>
      <c r="C819" s="4" t="s">
        <v>25</v>
      </c>
      <c r="D819" s="5">
        <v>8.33</v>
      </c>
      <c r="E819" s="1">
        <v>39</v>
      </c>
      <c r="F819" s="1">
        <f>InputData[[#This Row],[UNIT PRICE ($)]]*InputData[[#This Row],[QUANTITY]]</f>
        <v>324.87</v>
      </c>
      <c r="G819" s="1" t="str">
        <f>VLOOKUP(InputData[[#This Row],[CUSTOMER NAME]],Country[#All],2,0)</f>
        <v>Bangladesh</v>
      </c>
      <c r="H819" s="1" t="str">
        <f>VLOOKUP(InputData[[#This Row],[CUSTOMER NAME]],Country[#All],3,0)</f>
        <v>Export</v>
      </c>
      <c r="I819" s="1" t="str">
        <f>TEXT(InputData[[#This Row],[DATE]],"MMM")</f>
        <v>Dec</v>
      </c>
      <c r="J819" s="1">
        <f>WEEKNUM(InputData[[#This Row],[DATE]])</f>
        <v>52</v>
      </c>
    </row>
    <row r="820" spans="1:10" x14ac:dyDescent="0.25">
      <c r="A820" s="3">
        <v>44555</v>
      </c>
      <c r="B820" s="6" t="s">
        <v>64</v>
      </c>
      <c r="C820" s="4" t="s">
        <v>40</v>
      </c>
      <c r="D820" s="5">
        <v>115.2</v>
      </c>
      <c r="E820" s="1">
        <v>15</v>
      </c>
      <c r="F820" s="1">
        <f>InputData[[#This Row],[UNIT PRICE ($)]]*InputData[[#This Row],[QUANTITY]]</f>
        <v>1728</v>
      </c>
      <c r="G820" s="1" t="str">
        <f>VLOOKUP(InputData[[#This Row],[CUSTOMER NAME]],Country[#All],2,0)</f>
        <v>India</v>
      </c>
      <c r="H820" s="1" t="str">
        <f>VLOOKUP(InputData[[#This Row],[CUSTOMER NAME]],Country[#All],3,0)</f>
        <v>Northeast</v>
      </c>
      <c r="I820" s="1" t="str">
        <f>TEXT(InputData[[#This Row],[DATE]],"MMM")</f>
        <v>Dec</v>
      </c>
      <c r="J820" s="1">
        <f>WEEKNUM(InputData[[#This Row],[DATE]])</f>
        <v>52</v>
      </c>
    </row>
    <row r="821" spans="1:10" x14ac:dyDescent="0.25">
      <c r="A821" s="3">
        <v>44556</v>
      </c>
      <c r="B821" s="6" t="s">
        <v>84</v>
      </c>
      <c r="C821" s="4" t="s">
        <v>41</v>
      </c>
      <c r="D821" s="5">
        <v>173.88</v>
      </c>
      <c r="E821" s="1">
        <v>14</v>
      </c>
      <c r="F821" s="1">
        <f>InputData[[#This Row],[UNIT PRICE ($)]]*InputData[[#This Row],[QUANTITY]]</f>
        <v>2434.3199999999997</v>
      </c>
      <c r="G821" s="1" t="str">
        <f>VLOOKUP(InputData[[#This Row],[CUSTOMER NAME]],Country[#All],2,0)</f>
        <v>Ethiopia</v>
      </c>
      <c r="H821" s="1" t="str">
        <f>VLOOKUP(InputData[[#This Row],[CUSTOMER NAME]],Country[#All],3,0)</f>
        <v>Export</v>
      </c>
      <c r="I821" s="1" t="str">
        <f>TEXT(InputData[[#This Row],[DATE]],"MMM")</f>
        <v>Dec</v>
      </c>
      <c r="J821" s="1">
        <f>WEEKNUM(InputData[[#This Row],[DATE]])</f>
        <v>53</v>
      </c>
    </row>
    <row r="822" spans="1:10" x14ac:dyDescent="0.25">
      <c r="A822" s="3">
        <v>44556</v>
      </c>
      <c r="B822" s="6" t="s">
        <v>115</v>
      </c>
      <c r="C822" s="4" t="s">
        <v>37</v>
      </c>
      <c r="D822" s="5">
        <v>85.76</v>
      </c>
      <c r="E822" s="1">
        <v>36</v>
      </c>
      <c r="F822" s="1">
        <f>InputData[[#This Row],[UNIT PRICE ($)]]*InputData[[#This Row],[QUANTITY]]</f>
        <v>3087.36</v>
      </c>
      <c r="G822" s="1" t="str">
        <f>VLOOKUP(InputData[[#This Row],[CUSTOMER NAME]],Country[#All],2,0)</f>
        <v>India</v>
      </c>
      <c r="H822" s="1" t="str">
        <f>VLOOKUP(InputData[[#This Row],[CUSTOMER NAME]],Country[#All],3,0)</f>
        <v>Northeast</v>
      </c>
      <c r="I822" s="1" t="str">
        <f>TEXT(InputData[[#This Row],[DATE]],"MMM")</f>
        <v>Dec</v>
      </c>
      <c r="J822" s="1">
        <f>WEEKNUM(InputData[[#This Row],[DATE]])</f>
        <v>53</v>
      </c>
    </row>
    <row r="823" spans="1:10" x14ac:dyDescent="0.25">
      <c r="A823" s="3">
        <v>44557</v>
      </c>
      <c r="B823" s="6" t="s">
        <v>115</v>
      </c>
      <c r="C823" s="4" t="s">
        <v>10</v>
      </c>
      <c r="D823" s="5">
        <v>164.28</v>
      </c>
      <c r="E823" s="1">
        <v>26</v>
      </c>
      <c r="F823" s="1">
        <f>InputData[[#This Row],[UNIT PRICE ($)]]*InputData[[#This Row],[QUANTITY]]</f>
        <v>4271.28</v>
      </c>
      <c r="G823" s="1" t="str">
        <f>VLOOKUP(InputData[[#This Row],[CUSTOMER NAME]],Country[#All],2,0)</f>
        <v>India</v>
      </c>
      <c r="H823" s="1" t="str">
        <f>VLOOKUP(InputData[[#This Row],[CUSTOMER NAME]],Country[#All],3,0)</f>
        <v>Northeast</v>
      </c>
      <c r="I823" s="1" t="str">
        <f>TEXT(InputData[[#This Row],[DATE]],"MMM")</f>
        <v>Dec</v>
      </c>
      <c r="J823" s="1">
        <f>WEEKNUM(InputData[[#This Row],[DATE]])</f>
        <v>53</v>
      </c>
    </row>
    <row r="824" spans="1:10" x14ac:dyDescent="0.25">
      <c r="A824" s="3">
        <v>44557</v>
      </c>
      <c r="B824" s="6" t="s">
        <v>117</v>
      </c>
      <c r="C824" s="4" t="s">
        <v>29</v>
      </c>
      <c r="D824" s="5">
        <v>53.11</v>
      </c>
      <c r="E824" s="1">
        <v>14</v>
      </c>
      <c r="F824" s="1">
        <f>InputData[[#This Row],[UNIT PRICE ($)]]*InputData[[#This Row],[QUANTITY]]</f>
        <v>743.54</v>
      </c>
      <c r="G824" s="1" t="str">
        <f>VLOOKUP(InputData[[#This Row],[CUSTOMER NAME]],Country[#All],2,0)</f>
        <v>United States of America</v>
      </c>
      <c r="H824" s="1" t="str">
        <f>VLOOKUP(InputData[[#This Row],[CUSTOMER NAME]],Country[#All],3,0)</f>
        <v>Export</v>
      </c>
      <c r="I824" s="1" t="str">
        <f>TEXT(InputData[[#This Row],[DATE]],"MMM")</f>
        <v>Dec</v>
      </c>
      <c r="J824" s="1">
        <f>WEEKNUM(InputData[[#This Row],[DATE]])</f>
        <v>53</v>
      </c>
    </row>
    <row r="825" spans="1:10" x14ac:dyDescent="0.25">
      <c r="A825" s="3">
        <v>44558</v>
      </c>
      <c r="B825" s="6" t="s">
        <v>111</v>
      </c>
      <c r="C825" s="4" t="s">
        <v>29</v>
      </c>
      <c r="D825" s="5">
        <v>53.11</v>
      </c>
      <c r="E825" s="1">
        <v>6</v>
      </c>
      <c r="F825" s="1">
        <f>InputData[[#This Row],[UNIT PRICE ($)]]*InputData[[#This Row],[QUANTITY]]</f>
        <v>318.65999999999997</v>
      </c>
      <c r="G825" s="1" t="str">
        <f>VLOOKUP(InputData[[#This Row],[CUSTOMER NAME]],Country[#All],2,0)</f>
        <v>India</v>
      </c>
      <c r="H825" s="1" t="str">
        <f>VLOOKUP(InputData[[#This Row],[CUSTOMER NAME]],Country[#All],3,0)</f>
        <v>Northeast</v>
      </c>
      <c r="I825" s="1" t="str">
        <f>TEXT(InputData[[#This Row],[DATE]],"MMM")</f>
        <v>Dec</v>
      </c>
      <c r="J825" s="1">
        <f>WEEKNUM(InputData[[#This Row],[DATE]])</f>
        <v>53</v>
      </c>
    </row>
    <row r="826" spans="1:10" x14ac:dyDescent="0.25">
      <c r="A826" s="3">
        <v>44559</v>
      </c>
      <c r="B826" s="6" t="s">
        <v>108</v>
      </c>
      <c r="C826" s="4" t="s">
        <v>8</v>
      </c>
      <c r="D826" s="5">
        <v>94.62</v>
      </c>
      <c r="E826" s="1">
        <v>15</v>
      </c>
      <c r="F826" s="1">
        <f>InputData[[#This Row],[UNIT PRICE ($)]]*InputData[[#This Row],[QUANTITY]]</f>
        <v>1419.3000000000002</v>
      </c>
      <c r="G826" s="1" t="str">
        <f>VLOOKUP(InputData[[#This Row],[CUSTOMER NAME]],Country[#All],2,0)</f>
        <v>India</v>
      </c>
      <c r="H826" s="1" t="str">
        <f>VLOOKUP(InputData[[#This Row],[CUSTOMER NAME]],Country[#All],3,0)</f>
        <v>North</v>
      </c>
      <c r="I826" s="1" t="str">
        <f>TEXT(InputData[[#This Row],[DATE]],"MMM")</f>
        <v>Dec</v>
      </c>
      <c r="J826" s="1">
        <f>WEEKNUM(InputData[[#This Row],[DATE]])</f>
        <v>53</v>
      </c>
    </row>
    <row r="827" spans="1:10" x14ac:dyDescent="0.25">
      <c r="A827" s="3">
        <v>44559</v>
      </c>
      <c r="B827" s="6" t="s">
        <v>61</v>
      </c>
      <c r="C827" s="4" t="s">
        <v>6</v>
      </c>
      <c r="D827" s="5">
        <v>85.5</v>
      </c>
      <c r="E827" s="1">
        <v>26</v>
      </c>
      <c r="F827" s="1">
        <f>InputData[[#This Row],[UNIT PRICE ($)]]*InputData[[#This Row],[QUANTITY]]</f>
        <v>2223</v>
      </c>
      <c r="G827" s="1" t="str">
        <f>VLOOKUP(InputData[[#This Row],[CUSTOMER NAME]],Country[#All],2,0)</f>
        <v>Bangladesh</v>
      </c>
      <c r="H827" s="1" t="str">
        <f>VLOOKUP(InputData[[#This Row],[CUSTOMER NAME]],Country[#All],3,0)</f>
        <v>Export</v>
      </c>
      <c r="I827" s="1" t="str">
        <f>TEXT(InputData[[#This Row],[DATE]],"MMM")</f>
        <v>Dec</v>
      </c>
      <c r="J827" s="1">
        <f>WEEKNUM(InputData[[#This Row],[DATE]])</f>
        <v>53</v>
      </c>
    </row>
    <row r="828" spans="1:10" x14ac:dyDescent="0.25">
      <c r="A828" s="3">
        <v>44559</v>
      </c>
      <c r="B828" s="6" t="s">
        <v>113</v>
      </c>
      <c r="C828" s="4" t="s">
        <v>42</v>
      </c>
      <c r="D828" s="5">
        <v>162</v>
      </c>
      <c r="E828" s="1">
        <v>1</v>
      </c>
      <c r="F828" s="1">
        <f>InputData[[#This Row],[UNIT PRICE ($)]]*InputData[[#This Row],[QUANTITY]]</f>
        <v>162</v>
      </c>
      <c r="G828" s="1" t="str">
        <f>VLOOKUP(InputData[[#This Row],[CUSTOMER NAME]],Country[#All],2,0)</f>
        <v>Pakistan</v>
      </c>
      <c r="H828" s="1" t="str">
        <f>VLOOKUP(InputData[[#This Row],[CUSTOMER NAME]],Country[#All],3,0)</f>
        <v>Export</v>
      </c>
      <c r="I828" s="1" t="str">
        <f>TEXT(InputData[[#This Row],[DATE]],"MMM")</f>
        <v>Dec</v>
      </c>
      <c r="J828" s="1">
        <f>WEEKNUM(InputData[[#This Row],[DATE]])</f>
        <v>53</v>
      </c>
    </row>
    <row r="829" spans="1:10" x14ac:dyDescent="0.25">
      <c r="A829" s="3">
        <v>44560</v>
      </c>
      <c r="B829" s="6" t="s">
        <v>108</v>
      </c>
      <c r="C829" s="4" t="s">
        <v>10</v>
      </c>
      <c r="D829" s="5">
        <v>164.28</v>
      </c>
      <c r="E829" s="1">
        <v>13</v>
      </c>
      <c r="F829" s="1">
        <f>InputData[[#This Row],[UNIT PRICE ($)]]*InputData[[#This Row],[QUANTITY]]</f>
        <v>2135.64</v>
      </c>
      <c r="G829" s="1" t="str">
        <f>VLOOKUP(InputData[[#This Row],[CUSTOMER NAME]],Country[#All],2,0)</f>
        <v>India</v>
      </c>
      <c r="H829" s="1" t="str">
        <f>VLOOKUP(InputData[[#This Row],[CUSTOMER NAME]],Country[#All],3,0)</f>
        <v>North</v>
      </c>
      <c r="I829" s="1" t="str">
        <f>TEXT(InputData[[#This Row],[DATE]],"MMM")</f>
        <v>Dec</v>
      </c>
      <c r="J829" s="1">
        <f>WEEKNUM(InputData[[#This Row],[DATE]])</f>
        <v>53</v>
      </c>
    </row>
    <row r="830" spans="1:10" x14ac:dyDescent="0.25">
      <c r="A830" s="3">
        <v>44560</v>
      </c>
      <c r="B830" s="6" t="s">
        <v>110</v>
      </c>
      <c r="C830" s="4" t="s">
        <v>41</v>
      </c>
      <c r="D830" s="5">
        <v>173.88</v>
      </c>
      <c r="E830" s="1">
        <v>14</v>
      </c>
      <c r="F830" s="1">
        <f>InputData[[#This Row],[UNIT PRICE ($)]]*InputData[[#This Row],[QUANTITY]]</f>
        <v>2434.3199999999997</v>
      </c>
      <c r="G830" s="1" t="str">
        <f>VLOOKUP(InputData[[#This Row],[CUSTOMER NAME]],Country[#All],2,0)</f>
        <v>India</v>
      </c>
      <c r="H830" s="1" t="str">
        <f>VLOOKUP(InputData[[#This Row],[CUSTOMER NAME]],Country[#All],3,0)</f>
        <v>Western</v>
      </c>
      <c r="I830" s="1" t="str">
        <f>TEXT(InputData[[#This Row],[DATE]],"MMM")</f>
        <v>Dec</v>
      </c>
      <c r="J830" s="1">
        <f>WEEKNUM(InputData[[#This Row],[DATE]])</f>
        <v>53</v>
      </c>
    </row>
    <row r="831" spans="1:10" x14ac:dyDescent="0.25">
      <c r="A831" s="3">
        <v>44560</v>
      </c>
      <c r="B831" s="6" t="s">
        <v>80</v>
      </c>
      <c r="C831" s="4" t="s">
        <v>30</v>
      </c>
      <c r="D831" s="5">
        <v>201.28</v>
      </c>
      <c r="E831" s="1">
        <v>31</v>
      </c>
      <c r="F831" s="1">
        <f>InputData[[#This Row],[UNIT PRICE ($)]]*InputData[[#This Row],[QUANTITY]]</f>
        <v>6239.68</v>
      </c>
      <c r="G831" s="1" t="str">
        <f>VLOOKUP(InputData[[#This Row],[CUSTOMER NAME]],Country[#All],2,0)</f>
        <v>South Africa</v>
      </c>
      <c r="H831" s="1" t="str">
        <f>VLOOKUP(InputData[[#This Row],[CUSTOMER NAME]],Country[#All],3,0)</f>
        <v>Export</v>
      </c>
      <c r="I831" s="1" t="str">
        <f>TEXT(InputData[[#This Row],[DATE]],"MMM")</f>
        <v>Dec</v>
      </c>
      <c r="J831" s="1">
        <f>WEEKNUM(InputData[[#This Row],[DATE]])</f>
        <v>53</v>
      </c>
    </row>
    <row r="832" spans="1:10" x14ac:dyDescent="0.25">
      <c r="A832" s="3">
        <v>44561</v>
      </c>
      <c r="B832" s="6" t="s">
        <v>109</v>
      </c>
      <c r="C832" s="4" t="s">
        <v>11</v>
      </c>
      <c r="D832" s="5">
        <v>48.4</v>
      </c>
      <c r="E832" s="1">
        <v>6</v>
      </c>
      <c r="F832" s="1">
        <f>InputData[[#This Row],[UNIT PRICE ($)]]*InputData[[#This Row],[QUANTITY]]</f>
        <v>290.39999999999998</v>
      </c>
      <c r="G832" s="1" t="str">
        <f>VLOOKUP(InputData[[#This Row],[CUSTOMER NAME]],Country[#All],2,0)</f>
        <v>Pakistan</v>
      </c>
      <c r="H832" s="1" t="str">
        <f>VLOOKUP(InputData[[#This Row],[CUSTOMER NAME]],Country[#All],3,0)</f>
        <v>Export</v>
      </c>
      <c r="I832" s="1" t="str">
        <f>TEXT(InputData[[#This Row],[DATE]],"MMM")</f>
        <v>Dec</v>
      </c>
      <c r="J832" s="1">
        <f>WEEKNUM(InputData[[#This Row],[DATE]])</f>
        <v>53</v>
      </c>
    </row>
    <row r="833" spans="1:10" x14ac:dyDescent="0.25">
      <c r="A833" s="3">
        <v>44561</v>
      </c>
      <c r="B833" s="6" t="s">
        <v>77</v>
      </c>
      <c r="C833" s="4" t="s">
        <v>33</v>
      </c>
      <c r="D833" s="5">
        <v>119.7</v>
      </c>
      <c r="E833" s="1">
        <v>12</v>
      </c>
      <c r="F833" s="1">
        <f>InputData[[#This Row],[UNIT PRICE ($)]]*InputData[[#This Row],[QUANTITY]]</f>
        <v>1436.4</v>
      </c>
      <c r="G833" s="1" t="str">
        <f>VLOOKUP(InputData[[#This Row],[CUSTOMER NAME]],Country[#All],2,0)</f>
        <v>India</v>
      </c>
      <c r="H833" s="1" t="str">
        <f>VLOOKUP(InputData[[#This Row],[CUSTOMER NAME]],Country[#All],3,0)</f>
        <v>Western</v>
      </c>
      <c r="I833" s="1" t="str">
        <f>TEXT(InputData[[#This Row],[DATE]],"MMM")</f>
        <v>Dec</v>
      </c>
      <c r="J833" s="1">
        <f>WEEKNUM(InputData[[#This Row],[DATE]])</f>
        <v>53</v>
      </c>
    </row>
  </sheetData>
  <phoneticPr fontId="2" type="noConversion"/>
  <dataValidations count="1">
    <dataValidation type="whole" allowBlank="1" showInputMessage="1" showErrorMessage="1" sqref="E2:E833" xr:uid="{74FC4239-C815-4304-B7C1-8D0942A55F70}">
      <formula1>1</formula1>
      <formula2>1000</formula2>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A1:F13"/>
  <sheetViews>
    <sheetView workbookViewId="0">
      <selection activeCell="E1" activeCellId="1" sqref="B1:C13 E1:F13"/>
    </sheetView>
  </sheetViews>
  <sheetFormatPr defaultColWidth="13" defaultRowHeight="15" x14ac:dyDescent="0.25"/>
  <sheetData>
    <row r="1" spans="1:6" ht="15.75" thickBot="1" x14ac:dyDescent="0.3">
      <c r="A1" s="2" t="s">
        <v>119</v>
      </c>
      <c r="B1" s="2" t="s">
        <v>118</v>
      </c>
      <c r="C1" s="2" t="s">
        <v>107</v>
      </c>
      <c r="D1" t="s">
        <v>131</v>
      </c>
      <c r="E1" t="s">
        <v>133</v>
      </c>
      <c r="F1" t="s">
        <v>134</v>
      </c>
    </row>
    <row r="2" spans="1:6" x14ac:dyDescent="0.25">
      <c r="A2" s="8">
        <v>1</v>
      </c>
      <c r="B2" s="8" t="s">
        <v>47</v>
      </c>
      <c r="C2" s="9">
        <v>90000</v>
      </c>
      <c r="D2">
        <f>VLOOKUP(TargetData[[#This Row],[Month Name]],'Analysis Sheet'!C2:D14,2,0)</f>
        <v>92118.789999999964</v>
      </c>
      <c r="E2" t="e">
        <f>IF(TargetData[[#This Row],[Actual]]&lt;TargetData[[#This Row],[Target ($)]],TargetData[[#This Row],[Actual]],NA())</f>
        <v>#N/A</v>
      </c>
      <c r="F2">
        <f>IF(TargetData[[#This Row],[Actual]]&gt;TargetData[[#This Row],[Target ($)]],TargetData[[#This Row],[Actual]],NA())</f>
        <v>92118.789999999964</v>
      </c>
    </row>
    <row r="3" spans="1:6" x14ac:dyDescent="0.25">
      <c r="A3" s="8">
        <v>2</v>
      </c>
      <c r="B3" s="8" t="s">
        <v>48</v>
      </c>
      <c r="C3" s="9">
        <v>100000</v>
      </c>
      <c r="D3">
        <f>VLOOKUP(TargetData[[#This Row],[Month Name]],'Analysis Sheet'!C3:D15,2,0)</f>
        <v>91137.049999999988</v>
      </c>
      <c r="E3">
        <f>IF(TargetData[[#This Row],[Actual]]&lt;TargetData[[#This Row],[Target ($)]],TargetData[[#This Row],[Actual]],NA())</f>
        <v>91137.049999999988</v>
      </c>
      <c r="F3" t="e">
        <f>IF(TargetData[[#This Row],[Actual]]&gt;TargetData[[#This Row],[Target ($)]],TargetData[[#This Row],[Actual]],NA())</f>
        <v>#N/A</v>
      </c>
    </row>
    <row r="4" spans="1:6" x14ac:dyDescent="0.25">
      <c r="A4" s="8">
        <v>3</v>
      </c>
      <c r="B4" s="8" t="s">
        <v>49</v>
      </c>
      <c r="C4" s="9">
        <v>100000</v>
      </c>
      <c r="D4">
        <f>VLOOKUP(TargetData[[#This Row],[Month Name]],'Analysis Sheet'!C4:D16,2,0)</f>
        <v>97920.72</v>
      </c>
      <c r="E4">
        <f>IF(TargetData[[#This Row],[Actual]]&lt;TargetData[[#This Row],[Target ($)]],TargetData[[#This Row],[Actual]],NA())</f>
        <v>97920.72</v>
      </c>
      <c r="F4" t="e">
        <f>IF(TargetData[[#This Row],[Actual]]&gt;TargetData[[#This Row],[Target ($)]],TargetData[[#This Row],[Actual]],NA())</f>
        <v>#N/A</v>
      </c>
    </row>
    <row r="5" spans="1:6" x14ac:dyDescent="0.25">
      <c r="A5" s="8">
        <v>4</v>
      </c>
      <c r="B5" s="8" t="s">
        <v>50</v>
      </c>
      <c r="C5" s="9">
        <v>100000</v>
      </c>
      <c r="D5">
        <f>VLOOKUP(TargetData[[#This Row],[Month Name]],'Analysis Sheet'!C5:D17,2,0)</f>
        <v>72320.89</v>
      </c>
      <c r="E5">
        <f>IF(TargetData[[#This Row],[Actual]]&lt;TargetData[[#This Row],[Target ($)]],TargetData[[#This Row],[Actual]],NA())</f>
        <v>72320.89</v>
      </c>
      <c r="F5" t="e">
        <f>IF(TargetData[[#This Row],[Actual]]&gt;TargetData[[#This Row],[Target ($)]],TargetData[[#This Row],[Actual]],NA())</f>
        <v>#N/A</v>
      </c>
    </row>
    <row r="6" spans="1:6" x14ac:dyDescent="0.25">
      <c r="A6" s="8">
        <v>5</v>
      </c>
      <c r="B6" s="8" t="s">
        <v>51</v>
      </c>
      <c r="C6" s="9">
        <v>90000</v>
      </c>
      <c r="D6">
        <f>VLOOKUP(TargetData[[#This Row],[Month Name]],'Analysis Sheet'!C6:D18,2,0)</f>
        <v>70511.75999999998</v>
      </c>
      <c r="E6">
        <f>IF(TargetData[[#This Row],[Actual]]&lt;TargetData[[#This Row],[Target ($)]],TargetData[[#This Row],[Actual]],NA())</f>
        <v>70511.75999999998</v>
      </c>
      <c r="F6" t="e">
        <f>IF(TargetData[[#This Row],[Actual]]&gt;TargetData[[#This Row],[Target ($)]],TargetData[[#This Row],[Actual]],NA())</f>
        <v>#N/A</v>
      </c>
    </row>
    <row r="7" spans="1:6" x14ac:dyDescent="0.25">
      <c r="A7" s="8">
        <v>6</v>
      </c>
      <c r="B7" s="8" t="s">
        <v>52</v>
      </c>
      <c r="C7" s="9">
        <v>90000</v>
      </c>
      <c r="D7">
        <f>VLOOKUP(TargetData[[#This Row],[Month Name]],'Analysis Sheet'!C7:D19,2,0)</f>
        <v>66727.399999999994</v>
      </c>
      <c r="E7">
        <f>IF(TargetData[[#This Row],[Actual]]&lt;TargetData[[#This Row],[Target ($)]],TargetData[[#This Row],[Actual]],NA())</f>
        <v>66727.399999999994</v>
      </c>
      <c r="F7" t="e">
        <f>IF(TargetData[[#This Row],[Actual]]&gt;TargetData[[#This Row],[Target ($)]],TargetData[[#This Row],[Actual]],NA())</f>
        <v>#N/A</v>
      </c>
    </row>
    <row r="8" spans="1:6" x14ac:dyDescent="0.25">
      <c r="A8" s="8">
        <v>7</v>
      </c>
      <c r="B8" s="8" t="s">
        <v>53</v>
      </c>
      <c r="C8" s="9">
        <v>90000</v>
      </c>
      <c r="D8">
        <f>VLOOKUP(TargetData[[#This Row],[Month Name]],'Analysis Sheet'!C8:D20,2,0)</f>
        <v>92661.550000000017</v>
      </c>
      <c r="E8" t="e">
        <f>IF(TargetData[[#This Row],[Actual]]&lt;TargetData[[#This Row],[Target ($)]],TargetData[[#This Row],[Actual]],NA())</f>
        <v>#N/A</v>
      </c>
      <c r="F8">
        <f>IF(TargetData[[#This Row],[Actual]]&gt;TargetData[[#This Row],[Target ($)]],TargetData[[#This Row],[Actual]],NA())</f>
        <v>92661.550000000017</v>
      </c>
    </row>
    <row r="9" spans="1:6" x14ac:dyDescent="0.25">
      <c r="A9" s="8">
        <v>8</v>
      </c>
      <c r="B9" s="8" t="s">
        <v>54</v>
      </c>
      <c r="C9" s="9">
        <v>90000</v>
      </c>
      <c r="D9">
        <f>VLOOKUP(TargetData[[#This Row],[Month Name]],'Analysis Sheet'!C9:D21,2,0)</f>
        <v>69125.749999999985</v>
      </c>
      <c r="E9">
        <f>IF(TargetData[[#This Row],[Actual]]&lt;TargetData[[#This Row],[Target ($)]],TargetData[[#This Row],[Actual]],NA())</f>
        <v>69125.749999999985</v>
      </c>
      <c r="F9" t="e">
        <f>IF(TargetData[[#This Row],[Actual]]&gt;TargetData[[#This Row],[Target ($)]],TargetData[[#This Row],[Actual]],NA())</f>
        <v>#N/A</v>
      </c>
    </row>
    <row r="10" spans="1:6" x14ac:dyDescent="0.25">
      <c r="A10" s="8">
        <v>9</v>
      </c>
      <c r="B10" s="8" t="s">
        <v>55</v>
      </c>
      <c r="C10" s="9">
        <v>90000</v>
      </c>
      <c r="D10">
        <f>VLOOKUP(TargetData[[#This Row],[Month Name]],'Analysis Sheet'!C10:D22,2,0)</f>
        <v>78253.529999999984</v>
      </c>
      <c r="E10">
        <f>IF(TargetData[[#This Row],[Actual]]&lt;TargetData[[#This Row],[Target ($)]],TargetData[[#This Row],[Actual]],NA())</f>
        <v>78253.529999999984</v>
      </c>
      <c r="F10" t="e">
        <f>IF(TargetData[[#This Row],[Actual]]&gt;TargetData[[#This Row],[Target ($)]],TargetData[[#This Row],[Actual]],NA())</f>
        <v>#N/A</v>
      </c>
    </row>
    <row r="11" spans="1:6" x14ac:dyDescent="0.25">
      <c r="A11" s="8">
        <v>10</v>
      </c>
      <c r="B11" s="8" t="s">
        <v>56</v>
      </c>
      <c r="C11" s="9">
        <v>80000</v>
      </c>
      <c r="D11">
        <f>VLOOKUP(TargetData[[#This Row],[Month Name]],'Analysis Sheet'!C11:D23,2,0)</f>
        <v>87136.37</v>
      </c>
      <c r="E11" t="e">
        <f>IF(TargetData[[#This Row],[Actual]]&lt;TargetData[[#This Row],[Target ($)]],TargetData[[#This Row],[Actual]],NA())</f>
        <v>#N/A</v>
      </c>
      <c r="F11">
        <f>IF(TargetData[[#This Row],[Actual]]&gt;TargetData[[#This Row],[Target ($)]],TargetData[[#This Row],[Actual]],NA())</f>
        <v>87136.37</v>
      </c>
    </row>
    <row r="12" spans="1:6" x14ac:dyDescent="0.25">
      <c r="A12" s="8">
        <v>11</v>
      </c>
      <c r="B12" s="8" t="s">
        <v>57</v>
      </c>
      <c r="C12" s="9">
        <v>80000</v>
      </c>
      <c r="D12">
        <f>VLOOKUP(TargetData[[#This Row],[Month Name]],'Analysis Sheet'!C12:D24,2,0)</f>
        <v>75659.86</v>
      </c>
      <c r="E12">
        <f>IF(TargetData[[#This Row],[Actual]]&lt;TargetData[[#This Row],[Target ($)]],TargetData[[#This Row],[Actual]],NA())</f>
        <v>75659.86</v>
      </c>
      <c r="F12" t="e">
        <f>IF(TargetData[[#This Row],[Actual]]&gt;TargetData[[#This Row],[Target ($)]],TargetData[[#This Row],[Actual]],NA())</f>
        <v>#N/A</v>
      </c>
    </row>
    <row r="13" spans="1:6" x14ac:dyDescent="0.25">
      <c r="A13" s="8">
        <v>12</v>
      </c>
      <c r="B13" s="8" t="s">
        <v>58</v>
      </c>
      <c r="C13" s="9">
        <v>80000</v>
      </c>
      <c r="D13">
        <f>VLOOKUP(TargetData[[#This Row],[Month Name]],'Analysis Sheet'!C13:D25,2,0)</f>
        <v>90997.389999999985</v>
      </c>
      <c r="E13" t="e">
        <f>IF(TargetData[[#This Row],[Actual]]&lt;TargetData[[#This Row],[Target ($)]],TargetData[[#This Row],[Actual]],NA())</f>
        <v>#N/A</v>
      </c>
      <c r="F13">
        <f>IF(TargetData[[#This Row],[Actual]]&gt;TargetData[[#This Row],[Target ($)]],TargetData[[#This Row],[Actual]],NA())</f>
        <v>90997.389999999985</v>
      </c>
    </row>
  </sheetData>
  <phoneticPr fontId="2"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C826"/>
  <sheetViews>
    <sheetView zoomScaleNormal="100" workbookViewId="0">
      <selection activeCell="C12" sqref="C12"/>
    </sheetView>
  </sheetViews>
  <sheetFormatPr defaultColWidth="8.85546875" defaultRowHeight="15" x14ac:dyDescent="0.25"/>
  <cols>
    <col min="1" max="1" width="20.7109375" style="7" customWidth="1"/>
    <col min="2" max="2" width="22.7109375" style="7" customWidth="1"/>
    <col min="3" max="3" width="15" style="7" customWidth="1"/>
    <col min="4" max="16384" width="8.85546875" style="7"/>
  </cols>
  <sheetData>
    <row r="1" spans="1:3" ht="15.75" thickBot="1" x14ac:dyDescent="0.3">
      <c r="A1" s="2" t="s">
        <v>106</v>
      </c>
      <c r="B1" s="2" t="s">
        <v>105</v>
      </c>
      <c r="C1" s="2" t="s">
        <v>120</v>
      </c>
    </row>
    <row r="2" spans="1:3" x14ac:dyDescent="0.25">
      <c r="A2" s="6" t="s">
        <v>60</v>
      </c>
      <c r="B2" s="1" t="s">
        <v>98</v>
      </c>
      <c r="C2" s="1" t="s">
        <v>127</v>
      </c>
    </row>
    <row r="3" spans="1:3" x14ac:dyDescent="0.25">
      <c r="A3" s="6" t="s">
        <v>61</v>
      </c>
      <c r="B3" s="1" t="s">
        <v>90</v>
      </c>
      <c r="C3" s="1" t="s">
        <v>127</v>
      </c>
    </row>
    <row r="4" spans="1:3" x14ac:dyDescent="0.25">
      <c r="A4" s="6" t="s">
        <v>62</v>
      </c>
      <c r="B4" s="1" t="s">
        <v>95</v>
      </c>
      <c r="C4" s="1" t="s">
        <v>124</v>
      </c>
    </row>
    <row r="5" spans="1:3" x14ac:dyDescent="0.25">
      <c r="A5" s="6" t="s">
        <v>63</v>
      </c>
      <c r="B5" s="1" t="s">
        <v>101</v>
      </c>
      <c r="C5" s="1" t="s">
        <v>127</v>
      </c>
    </row>
    <row r="6" spans="1:3" x14ac:dyDescent="0.25">
      <c r="A6" s="6" t="s">
        <v>64</v>
      </c>
      <c r="B6" s="1" t="s">
        <v>95</v>
      </c>
      <c r="C6" s="1" t="s">
        <v>124</v>
      </c>
    </row>
    <row r="7" spans="1:3" x14ac:dyDescent="0.25">
      <c r="A7" s="6" t="s">
        <v>65</v>
      </c>
      <c r="B7" s="1" t="s">
        <v>99</v>
      </c>
      <c r="C7" s="1" t="s">
        <v>127</v>
      </c>
    </row>
    <row r="8" spans="1:3" x14ac:dyDescent="0.25">
      <c r="A8" s="6" t="s">
        <v>66</v>
      </c>
      <c r="B8" s="1" t="s">
        <v>96</v>
      </c>
      <c r="C8" s="1" t="s">
        <v>127</v>
      </c>
    </row>
    <row r="9" spans="1:3" x14ac:dyDescent="0.25">
      <c r="A9" s="6" t="s">
        <v>67</v>
      </c>
      <c r="B9" s="1" t="s">
        <v>103</v>
      </c>
      <c r="C9" s="1" t="s">
        <v>127</v>
      </c>
    </row>
    <row r="10" spans="1:3" x14ac:dyDescent="0.25">
      <c r="A10" s="6" t="s">
        <v>68</v>
      </c>
      <c r="B10" s="1" t="s">
        <v>100</v>
      </c>
      <c r="C10" s="1" t="s">
        <v>127</v>
      </c>
    </row>
    <row r="11" spans="1:3" x14ac:dyDescent="0.25">
      <c r="A11" s="6" t="s">
        <v>69</v>
      </c>
      <c r="B11" s="1" t="s">
        <v>95</v>
      </c>
      <c r="C11" s="1" t="s">
        <v>125</v>
      </c>
    </row>
    <row r="12" spans="1:3" x14ac:dyDescent="0.25">
      <c r="A12" s="6" t="s">
        <v>70</v>
      </c>
      <c r="B12" s="1" t="s">
        <v>97</v>
      </c>
      <c r="C12" s="1" t="s">
        <v>127</v>
      </c>
    </row>
    <row r="13" spans="1:3" x14ac:dyDescent="0.25">
      <c r="A13" s="6" t="s">
        <v>71</v>
      </c>
      <c r="B13" s="1" t="s">
        <v>95</v>
      </c>
      <c r="C13" s="1" t="s">
        <v>121</v>
      </c>
    </row>
    <row r="14" spans="1:3" x14ac:dyDescent="0.25">
      <c r="A14" s="6" t="s">
        <v>72</v>
      </c>
      <c r="B14" s="1" t="s">
        <v>91</v>
      </c>
      <c r="C14" s="1" t="s">
        <v>127</v>
      </c>
    </row>
    <row r="15" spans="1:3" x14ac:dyDescent="0.25">
      <c r="A15" s="6" t="s">
        <v>73</v>
      </c>
      <c r="B15" s="1" t="s">
        <v>95</v>
      </c>
      <c r="C15" s="1" t="s">
        <v>122</v>
      </c>
    </row>
    <row r="16" spans="1:3" x14ac:dyDescent="0.25">
      <c r="A16" s="6" t="s">
        <v>74</v>
      </c>
      <c r="B16" s="1" t="s">
        <v>91</v>
      </c>
      <c r="C16" s="1" t="s">
        <v>127</v>
      </c>
    </row>
    <row r="17" spans="1:3" x14ac:dyDescent="0.25">
      <c r="A17" s="6" t="s">
        <v>75</v>
      </c>
      <c r="B17" s="1" t="s">
        <v>100</v>
      </c>
      <c r="C17" s="1" t="s">
        <v>127</v>
      </c>
    </row>
    <row r="18" spans="1:3" x14ac:dyDescent="0.25">
      <c r="A18" s="6" t="s">
        <v>76</v>
      </c>
      <c r="B18" s="1" t="s">
        <v>101</v>
      </c>
      <c r="C18" s="1" t="s">
        <v>127</v>
      </c>
    </row>
    <row r="19" spans="1:3" x14ac:dyDescent="0.25">
      <c r="A19" s="6" t="s">
        <v>77</v>
      </c>
      <c r="B19" s="1" t="s">
        <v>95</v>
      </c>
      <c r="C19" s="1" t="s">
        <v>126</v>
      </c>
    </row>
    <row r="20" spans="1:3" x14ac:dyDescent="0.25">
      <c r="A20" s="6" t="s">
        <v>78</v>
      </c>
      <c r="B20" s="1" t="s">
        <v>95</v>
      </c>
      <c r="C20" s="1" t="s">
        <v>121</v>
      </c>
    </row>
    <row r="21" spans="1:3" x14ac:dyDescent="0.25">
      <c r="A21" s="6" t="s">
        <v>79</v>
      </c>
      <c r="B21" s="1" t="s">
        <v>103</v>
      </c>
      <c r="C21" s="1" t="s">
        <v>127</v>
      </c>
    </row>
    <row r="22" spans="1:3" x14ac:dyDescent="0.25">
      <c r="A22" s="6" t="s">
        <v>80</v>
      </c>
      <c r="B22" s="1" t="s">
        <v>102</v>
      </c>
      <c r="C22" s="1" t="s">
        <v>127</v>
      </c>
    </row>
    <row r="23" spans="1:3" x14ac:dyDescent="0.25">
      <c r="A23" s="6" t="s">
        <v>81</v>
      </c>
      <c r="B23" s="1" t="s">
        <v>95</v>
      </c>
      <c r="C23" s="1" t="s">
        <v>122</v>
      </c>
    </row>
    <row r="24" spans="1:3" x14ac:dyDescent="0.25">
      <c r="A24" s="6" t="s">
        <v>82</v>
      </c>
      <c r="B24" s="1" t="s">
        <v>95</v>
      </c>
      <c r="C24" s="1" t="s">
        <v>126</v>
      </c>
    </row>
    <row r="25" spans="1:3" x14ac:dyDescent="0.25">
      <c r="A25" s="6" t="s">
        <v>83</v>
      </c>
      <c r="B25" s="1" t="s">
        <v>95</v>
      </c>
      <c r="C25" s="1" t="s">
        <v>123</v>
      </c>
    </row>
    <row r="26" spans="1:3" x14ac:dyDescent="0.25">
      <c r="A26" s="6" t="s">
        <v>84</v>
      </c>
      <c r="B26" s="1" t="s">
        <v>92</v>
      </c>
      <c r="C26" s="1" t="s">
        <v>127</v>
      </c>
    </row>
    <row r="27" spans="1:3" x14ac:dyDescent="0.25">
      <c r="A27" s="6" t="s">
        <v>85</v>
      </c>
      <c r="B27" s="1" t="s">
        <v>95</v>
      </c>
      <c r="C27" s="1" t="s">
        <v>124</v>
      </c>
    </row>
    <row r="28" spans="1:3" x14ac:dyDescent="0.25">
      <c r="A28" s="6" t="s">
        <v>86</v>
      </c>
      <c r="B28" s="1" t="s">
        <v>95</v>
      </c>
      <c r="C28" s="1" t="s">
        <v>125</v>
      </c>
    </row>
    <row r="29" spans="1:3" x14ac:dyDescent="0.25">
      <c r="A29" s="6" t="s">
        <v>87</v>
      </c>
      <c r="B29" s="1" t="s">
        <v>93</v>
      </c>
      <c r="C29" s="1" t="s">
        <v>127</v>
      </c>
    </row>
    <row r="30" spans="1:3" x14ac:dyDescent="0.25">
      <c r="A30" s="6" t="s">
        <v>88</v>
      </c>
      <c r="B30" s="1" t="s">
        <v>95</v>
      </c>
      <c r="C30" s="1" t="s">
        <v>125</v>
      </c>
    </row>
    <row r="31" spans="1:3" x14ac:dyDescent="0.25">
      <c r="A31" s="6" t="s">
        <v>89</v>
      </c>
      <c r="B31" s="1" t="s">
        <v>97</v>
      </c>
      <c r="C31" s="1" t="s">
        <v>127</v>
      </c>
    </row>
    <row r="32" spans="1:3" x14ac:dyDescent="0.25">
      <c r="A32" s="6" t="s">
        <v>108</v>
      </c>
      <c r="B32" s="1" t="s">
        <v>95</v>
      </c>
      <c r="C32" s="1" t="s">
        <v>123</v>
      </c>
    </row>
    <row r="33" spans="1:3" x14ac:dyDescent="0.25">
      <c r="A33" s="6" t="s">
        <v>109</v>
      </c>
      <c r="B33" s="1" t="s">
        <v>99</v>
      </c>
      <c r="C33" s="1" t="s">
        <v>127</v>
      </c>
    </row>
    <row r="34" spans="1:3" x14ac:dyDescent="0.25">
      <c r="A34" s="6" t="s">
        <v>110</v>
      </c>
      <c r="B34" s="1" t="s">
        <v>95</v>
      </c>
      <c r="C34" s="1" t="s">
        <v>126</v>
      </c>
    </row>
    <row r="35" spans="1:3" x14ac:dyDescent="0.25">
      <c r="A35" s="6" t="s">
        <v>111</v>
      </c>
      <c r="B35" s="1" t="s">
        <v>95</v>
      </c>
      <c r="C35" s="1" t="s">
        <v>124</v>
      </c>
    </row>
    <row r="36" spans="1:3" x14ac:dyDescent="0.25">
      <c r="A36" s="6" t="s">
        <v>112</v>
      </c>
      <c r="B36" s="1" t="s">
        <v>95</v>
      </c>
      <c r="C36" s="1" t="s">
        <v>123</v>
      </c>
    </row>
    <row r="37" spans="1:3" x14ac:dyDescent="0.25">
      <c r="A37" s="6" t="s">
        <v>113</v>
      </c>
      <c r="B37" s="1" t="s">
        <v>99</v>
      </c>
      <c r="C37" s="1" t="s">
        <v>127</v>
      </c>
    </row>
    <row r="38" spans="1:3" x14ac:dyDescent="0.25">
      <c r="A38" s="6" t="s">
        <v>114</v>
      </c>
      <c r="B38" s="1" t="s">
        <v>104</v>
      </c>
      <c r="C38" s="1" t="s">
        <v>127</v>
      </c>
    </row>
    <row r="39" spans="1:3" x14ac:dyDescent="0.25">
      <c r="A39" s="6" t="s">
        <v>115</v>
      </c>
      <c r="B39" s="1" t="s">
        <v>95</v>
      </c>
      <c r="C39" s="1" t="s">
        <v>124</v>
      </c>
    </row>
    <row r="40" spans="1:3" x14ac:dyDescent="0.25">
      <c r="A40" s="6" t="s">
        <v>116</v>
      </c>
      <c r="B40" s="1" t="s">
        <v>94</v>
      </c>
      <c r="C40" s="1" t="s">
        <v>127</v>
      </c>
    </row>
    <row r="41" spans="1:3" x14ac:dyDescent="0.25">
      <c r="A41" s="6" t="s">
        <v>117</v>
      </c>
      <c r="B41" s="1" t="s">
        <v>104</v>
      </c>
      <c r="C41" s="1" t="s">
        <v>127</v>
      </c>
    </row>
    <row r="42" spans="1:3" x14ac:dyDescent="0.25">
      <c r="A42"/>
      <c r="B42"/>
      <c r="C42"/>
    </row>
    <row r="43" spans="1:3" x14ac:dyDescent="0.25">
      <c r="A43"/>
      <c r="B43"/>
      <c r="C43"/>
    </row>
    <row r="44" spans="1:3" x14ac:dyDescent="0.25">
      <c r="A44"/>
      <c r="B44"/>
      <c r="C44"/>
    </row>
    <row r="45" spans="1:3" x14ac:dyDescent="0.25">
      <c r="A45"/>
      <c r="B45"/>
      <c r="C45"/>
    </row>
    <row r="46" spans="1:3" x14ac:dyDescent="0.25">
      <c r="A46"/>
      <c r="B46"/>
      <c r="C46"/>
    </row>
    <row r="47" spans="1:3" x14ac:dyDescent="0.25">
      <c r="A47"/>
      <c r="B47"/>
      <c r="C47"/>
    </row>
    <row r="48" spans="1:3" x14ac:dyDescent="0.25">
      <c r="A48"/>
      <c r="B48"/>
      <c r="C48"/>
    </row>
    <row r="49" spans="1:3" x14ac:dyDescent="0.25">
      <c r="A49"/>
      <c r="B49"/>
      <c r="C49"/>
    </row>
    <row r="50" spans="1:3" x14ac:dyDescent="0.25">
      <c r="A50"/>
      <c r="B50"/>
      <c r="C50"/>
    </row>
    <row r="51" spans="1:3" x14ac:dyDescent="0.25">
      <c r="A51"/>
      <c r="B51"/>
      <c r="C51"/>
    </row>
    <row r="52" spans="1:3" x14ac:dyDescent="0.25">
      <c r="A52"/>
      <c r="B52"/>
      <c r="C52"/>
    </row>
    <row r="53" spans="1:3" x14ac:dyDescent="0.25">
      <c r="A53"/>
      <c r="B53"/>
      <c r="C53"/>
    </row>
    <row r="54" spans="1:3" x14ac:dyDescent="0.25">
      <c r="A54"/>
      <c r="B54"/>
      <c r="C54"/>
    </row>
    <row r="55" spans="1:3" x14ac:dyDescent="0.25">
      <c r="A55"/>
      <c r="B55"/>
      <c r="C55"/>
    </row>
    <row r="56" spans="1:3" x14ac:dyDescent="0.25">
      <c r="A56"/>
      <c r="B56"/>
      <c r="C56"/>
    </row>
    <row r="57" spans="1:3" x14ac:dyDescent="0.25">
      <c r="A57"/>
      <c r="B57"/>
      <c r="C57"/>
    </row>
    <row r="58" spans="1:3" x14ac:dyDescent="0.25">
      <c r="A58"/>
      <c r="B58"/>
      <c r="C58"/>
    </row>
    <row r="59" spans="1:3" x14ac:dyDescent="0.25">
      <c r="A59"/>
      <c r="B59"/>
      <c r="C59"/>
    </row>
    <row r="60" spans="1:3" x14ac:dyDescent="0.25">
      <c r="A60"/>
      <c r="B60"/>
      <c r="C60"/>
    </row>
    <row r="61" spans="1:3" x14ac:dyDescent="0.25">
      <c r="A61"/>
      <c r="B61"/>
      <c r="C61"/>
    </row>
    <row r="62" spans="1:3" x14ac:dyDescent="0.25">
      <c r="A62"/>
      <c r="B62"/>
      <c r="C62"/>
    </row>
    <row r="63" spans="1:3" x14ac:dyDescent="0.25">
      <c r="A63"/>
      <c r="B63"/>
      <c r="C63"/>
    </row>
    <row r="64" spans="1:3" x14ac:dyDescent="0.25">
      <c r="A64"/>
      <c r="B64"/>
      <c r="C64"/>
    </row>
    <row r="65" spans="1:3" x14ac:dyDescent="0.25">
      <c r="A65"/>
      <c r="B65"/>
      <c r="C65"/>
    </row>
    <row r="66" spans="1:3" x14ac:dyDescent="0.25">
      <c r="A66"/>
      <c r="B66"/>
      <c r="C66"/>
    </row>
    <row r="67" spans="1:3" x14ac:dyDescent="0.25">
      <c r="A67"/>
      <c r="B67"/>
      <c r="C67"/>
    </row>
    <row r="68" spans="1:3" x14ac:dyDescent="0.25">
      <c r="A68"/>
      <c r="B68"/>
      <c r="C68"/>
    </row>
    <row r="69" spans="1:3" x14ac:dyDescent="0.25">
      <c r="A69"/>
      <c r="B69"/>
      <c r="C69"/>
    </row>
    <row r="70" spans="1:3" x14ac:dyDescent="0.25">
      <c r="A70"/>
      <c r="B70"/>
      <c r="C70"/>
    </row>
    <row r="71" spans="1:3" x14ac:dyDescent="0.25">
      <c r="A71"/>
      <c r="B71"/>
      <c r="C71"/>
    </row>
    <row r="72" spans="1:3" x14ac:dyDescent="0.25">
      <c r="A72"/>
      <c r="B72"/>
      <c r="C72"/>
    </row>
    <row r="73" spans="1:3" x14ac:dyDescent="0.25">
      <c r="A73"/>
      <c r="B73"/>
      <c r="C73"/>
    </row>
    <row r="74" spans="1:3" x14ac:dyDescent="0.25">
      <c r="A74"/>
      <c r="B74"/>
      <c r="C74"/>
    </row>
    <row r="75" spans="1:3" x14ac:dyDescent="0.25">
      <c r="A75"/>
      <c r="B75"/>
      <c r="C75"/>
    </row>
    <row r="76" spans="1:3" x14ac:dyDescent="0.25">
      <c r="A76"/>
      <c r="B76"/>
      <c r="C76"/>
    </row>
    <row r="77" spans="1:3" x14ac:dyDescent="0.25">
      <c r="A77"/>
      <c r="B77"/>
      <c r="C77"/>
    </row>
    <row r="78" spans="1:3" x14ac:dyDescent="0.25">
      <c r="A78"/>
      <c r="B78"/>
      <c r="C78"/>
    </row>
    <row r="79" spans="1:3" x14ac:dyDescent="0.25">
      <c r="A79"/>
      <c r="B79"/>
      <c r="C79"/>
    </row>
    <row r="80" spans="1:3" x14ac:dyDescent="0.25">
      <c r="A80"/>
      <c r="B80"/>
      <c r="C80"/>
    </row>
    <row r="81" spans="1:3" x14ac:dyDescent="0.25">
      <c r="A81"/>
      <c r="B81"/>
      <c r="C81"/>
    </row>
    <row r="82" spans="1:3" x14ac:dyDescent="0.25">
      <c r="A82"/>
      <c r="B82"/>
      <c r="C82"/>
    </row>
    <row r="83" spans="1:3" x14ac:dyDescent="0.25">
      <c r="A83"/>
      <c r="B83"/>
      <c r="C83"/>
    </row>
    <row r="84" spans="1:3" x14ac:dyDescent="0.25">
      <c r="A84"/>
      <c r="B84"/>
      <c r="C84"/>
    </row>
    <row r="85" spans="1:3" x14ac:dyDescent="0.25">
      <c r="A85"/>
      <c r="B85"/>
      <c r="C85"/>
    </row>
    <row r="86" spans="1:3" x14ac:dyDescent="0.25">
      <c r="A86"/>
      <c r="B86"/>
      <c r="C86"/>
    </row>
    <row r="87" spans="1:3" x14ac:dyDescent="0.25">
      <c r="A87"/>
      <c r="B87"/>
      <c r="C87"/>
    </row>
    <row r="88" spans="1:3" x14ac:dyDescent="0.25">
      <c r="A88"/>
      <c r="B88"/>
      <c r="C88"/>
    </row>
    <row r="89" spans="1:3" x14ac:dyDescent="0.25">
      <c r="A89"/>
      <c r="B89"/>
      <c r="C89"/>
    </row>
    <row r="90" spans="1:3" x14ac:dyDescent="0.25">
      <c r="A90"/>
      <c r="B90"/>
      <c r="C90"/>
    </row>
    <row r="91" spans="1:3" x14ac:dyDescent="0.25">
      <c r="A91"/>
      <c r="B91"/>
      <c r="C91"/>
    </row>
    <row r="92" spans="1:3" x14ac:dyDescent="0.25">
      <c r="A92"/>
      <c r="B92"/>
      <c r="C92"/>
    </row>
    <row r="93" spans="1:3" x14ac:dyDescent="0.25">
      <c r="A93"/>
      <c r="B93"/>
      <c r="C93"/>
    </row>
    <row r="94" spans="1:3" x14ac:dyDescent="0.25">
      <c r="A94"/>
      <c r="B94"/>
      <c r="C94"/>
    </row>
    <row r="95" spans="1:3" x14ac:dyDescent="0.25">
      <c r="A95"/>
      <c r="B95"/>
      <c r="C95"/>
    </row>
    <row r="96" spans="1:3" x14ac:dyDescent="0.25">
      <c r="A96"/>
      <c r="B96"/>
      <c r="C96"/>
    </row>
    <row r="97" spans="1:3" x14ac:dyDescent="0.25">
      <c r="A97"/>
      <c r="B97"/>
      <c r="C97"/>
    </row>
    <row r="98" spans="1:3" x14ac:dyDescent="0.25">
      <c r="A98"/>
      <c r="B98"/>
      <c r="C98"/>
    </row>
    <row r="99" spans="1:3" x14ac:dyDescent="0.25">
      <c r="A99"/>
      <c r="B99"/>
      <c r="C99"/>
    </row>
    <row r="100" spans="1:3" x14ac:dyDescent="0.25">
      <c r="A100"/>
      <c r="B100"/>
      <c r="C100"/>
    </row>
    <row r="101" spans="1:3" x14ac:dyDescent="0.25">
      <c r="A101"/>
      <c r="B101"/>
      <c r="C101"/>
    </row>
    <row r="102" spans="1:3" x14ac:dyDescent="0.25">
      <c r="A102"/>
      <c r="B102"/>
      <c r="C102"/>
    </row>
    <row r="103" spans="1:3" x14ac:dyDescent="0.25">
      <c r="A103"/>
      <c r="B103"/>
      <c r="C103"/>
    </row>
    <row r="104" spans="1:3" x14ac:dyDescent="0.25">
      <c r="A104"/>
      <c r="B104"/>
      <c r="C104"/>
    </row>
    <row r="105" spans="1:3" x14ac:dyDescent="0.25">
      <c r="A105"/>
      <c r="B105"/>
      <c r="C105"/>
    </row>
    <row r="106" spans="1:3" x14ac:dyDescent="0.25">
      <c r="A106"/>
      <c r="B106"/>
      <c r="C106"/>
    </row>
    <row r="107" spans="1:3" x14ac:dyDescent="0.25">
      <c r="A107"/>
      <c r="B107"/>
      <c r="C107"/>
    </row>
    <row r="108" spans="1:3" x14ac:dyDescent="0.25">
      <c r="A108"/>
      <c r="B108"/>
      <c r="C108"/>
    </row>
    <row r="109" spans="1:3" x14ac:dyDescent="0.25">
      <c r="A109"/>
      <c r="B109"/>
      <c r="C109"/>
    </row>
    <row r="110" spans="1:3" x14ac:dyDescent="0.25">
      <c r="A110"/>
      <c r="B110"/>
      <c r="C110"/>
    </row>
    <row r="111" spans="1:3" x14ac:dyDescent="0.25">
      <c r="A111"/>
      <c r="B111"/>
      <c r="C111"/>
    </row>
    <row r="112" spans="1:3" x14ac:dyDescent="0.25">
      <c r="A112"/>
      <c r="B112"/>
      <c r="C112"/>
    </row>
    <row r="113" spans="1:3" x14ac:dyDescent="0.25">
      <c r="A113"/>
      <c r="B113"/>
      <c r="C113"/>
    </row>
    <row r="114" spans="1:3" x14ac:dyDescent="0.25">
      <c r="A114"/>
      <c r="B114"/>
      <c r="C114"/>
    </row>
    <row r="115" spans="1:3" x14ac:dyDescent="0.25">
      <c r="A115"/>
      <c r="B115"/>
      <c r="C115"/>
    </row>
    <row r="116" spans="1:3" x14ac:dyDescent="0.25">
      <c r="A116"/>
      <c r="B116"/>
      <c r="C116"/>
    </row>
    <row r="117" spans="1:3" x14ac:dyDescent="0.25">
      <c r="A117"/>
      <c r="B117"/>
      <c r="C117"/>
    </row>
    <row r="118" spans="1:3" x14ac:dyDescent="0.25">
      <c r="A118"/>
      <c r="B118"/>
      <c r="C118"/>
    </row>
    <row r="119" spans="1:3" x14ac:dyDescent="0.25">
      <c r="A119"/>
      <c r="B119"/>
      <c r="C119"/>
    </row>
    <row r="120" spans="1:3" x14ac:dyDescent="0.25">
      <c r="A120"/>
      <c r="B120"/>
      <c r="C120"/>
    </row>
    <row r="121" spans="1:3" x14ac:dyDescent="0.25">
      <c r="A121"/>
      <c r="B121"/>
      <c r="C121"/>
    </row>
    <row r="122" spans="1:3" x14ac:dyDescent="0.25">
      <c r="A122"/>
      <c r="B122"/>
      <c r="C122"/>
    </row>
    <row r="123" spans="1:3" x14ac:dyDescent="0.25">
      <c r="A123"/>
      <c r="B123"/>
      <c r="C123"/>
    </row>
    <row r="124" spans="1:3" x14ac:dyDescent="0.25">
      <c r="A124"/>
      <c r="B124"/>
      <c r="C124"/>
    </row>
    <row r="125" spans="1:3" x14ac:dyDescent="0.25">
      <c r="A125"/>
      <c r="B125"/>
      <c r="C125"/>
    </row>
    <row r="126" spans="1:3" x14ac:dyDescent="0.25">
      <c r="A126"/>
      <c r="B126"/>
      <c r="C126"/>
    </row>
    <row r="127" spans="1:3" x14ac:dyDescent="0.25">
      <c r="A127"/>
      <c r="B127"/>
      <c r="C127"/>
    </row>
    <row r="128" spans="1:3" x14ac:dyDescent="0.25">
      <c r="A128"/>
      <c r="B128"/>
      <c r="C128"/>
    </row>
    <row r="129" spans="1:3" x14ac:dyDescent="0.25">
      <c r="A129"/>
      <c r="B129"/>
      <c r="C129"/>
    </row>
    <row r="130" spans="1:3" x14ac:dyDescent="0.25">
      <c r="A130"/>
      <c r="B130"/>
      <c r="C130"/>
    </row>
    <row r="131" spans="1:3" x14ac:dyDescent="0.25">
      <c r="A131"/>
      <c r="B131"/>
      <c r="C131"/>
    </row>
    <row r="132" spans="1:3" x14ac:dyDescent="0.25">
      <c r="A132"/>
      <c r="B132"/>
      <c r="C132"/>
    </row>
    <row r="133" spans="1:3" x14ac:dyDescent="0.25">
      <c r="A133"/>
      <c r="B133"/>
      <c r="C133"/>
    </row>
    <row r="134" spans="1:3" x14ac:dyDescent="0.25">
      <c r="A134"/>
      <c r="B134"/>
      <c r="C134"/>
    </row>
    <row r="135" spans="1:3" x14ac:dyDescent="0.25">
      <c r="A135"/>
      <c r="B135"/>
      <c r="C135"/>
    </row>
    <row r="136" spans="1:3" x14ac:dyDescent="0.25">
      <c r="A136"/>
      <c r="B136"/>
      <c r="C136"/>
    </row>
    <row r="137" spans="1:3" x14ac:dyDescent="0.25">
      <c r="A137"/>
      <c r="B137"/>
      <c r="C137"/>
    </row>
    <row r="138" spans="1:3" x14ac:dyDescent="0.25">
      <c r="A138"/>
      <c r="B138"/>
      <c r="C138"/>
    </row>
    <row r="139" spans="1:3" x14ac:dyDescent="0.25">
      <c r="A139"/>
      <c r="B139"/>
      <c r="C139"/>
    </row>
    <row r="140" spans="1:3" x14ac:dyDescent="0.25">
      <c r="A140"/>
      <c r="B140"/>
      <c r="C140"/>
    </row>
    <row r="141" spans="1:3" x14ac:dyDescent="0.25">
      <c r="A141"/>
      <c r="B141"/>
      <c r="C141"/>
    </row>
    <row r="142" spans="1:3" x14ac:dyDescent="0.25">
      <c r="A142"/>
      <c r="B142"/>
      <c r="C142"/>
    </row>
    <row r="143" spans="1:3" x14ac:dyDescent="0.25">
      <c r="A143"/>
      <c r="B143"/>
      <c r="C143"/>
    </row>
    <row r="144" spans="1:3" x14ac:dyDescent="0.25">
      <c r="A144"/>
      <c r="B144"/>
      <c r="C144"/>
    </row>
    <row r="145" spans="1:3" x14ac:dyDescent="0.25">
      <c r="A145"/>
      <c r="B145"/>
      <c r="C145"/>
    </row>
    <row r="146" spans="1:3" x14ac:dyDescent="0.25">
      <c r="A146"/>
      <c r="B146"/>
      <c r="C146"/>
    </row>
    <row r="147" spans="1:3" x14ac:dyDescent="0.25">
      <c r="A147"/>
      <c r="B147"/>
      <c r="C147"/>
    </row>
    <row r="148" spans="1:3" x14ac:dyDescent="0.25">
      <c r="A148"/>
      <c r="B148"/>
      <c r="C148"/>
    </row>
    <row r="149" spans="1:3" x14ac:dyDescent="0.25">
      <c r="A149"/>
      <c r="B149"/>
      <c r="C149"/>
    </row>
    <row r="150" spans="1:3" x14ac:dyDescent="0.25">
      <c r="A150"/>
      <c r="B150"/>
      <c r="C150"/>
    </row>
    <row r="151" spans="1:3" x14ac:dyDescent="0.25">
      <c r="A151"/>
      <c r="B151"/>
      <c r="C151"/>
    </row>
    <row r="152" spans="1:3" x14ac:dyDescent="0.25">
      <c r="A152"/>
      <c r="B152"/>
      <c r="C152"/>
    </row>
    <row r="153" spans="1:3" x14ac:dyDescent="0.25">
      <c r="A153"/>
      <c r="B153"/>
      <c r="C153"/>
    </row>
    <row r="154" spans="1:3" x14ac:dyDescent="0.25">
      <c r="A154"/>
      <c r="B154"/>
      <c r="C154"/>
    </row>
    <row r="155" spans="1:3" x14ac:dyDescent="0.25">
      <c r="A155"/>
      <c r="B155"/>
      <c r="C155"/>
    </row>
    <row r="156" spans="1:3" x14ac:dyDescent="0.25">
      <c r="A156"/>
      <c r="B156"/>
      <c r="C156"/>
    </row>
    <row r="157" spans="1:3" x14ac:dyDescent="0.25">
      <c r="A157"/>
      <c r="B157"/>
      <c r="C157"/>
    </row>
    <row r="158" spans="1:3" x14ac:dyDescent="0.25">
      <c r="A158"/>
      <c r="B158"/>
      <c r="C158"/>
    </row>
    <row r="159" spans="1:3" x14ac:dyDescent="0.25">
      <c r="A159"/>
      <c r="B159"/>
      <c r="C159"/>
    </row>
    <row r="160" spans="1:3" x14ac:dyDescent="0.25">
      <c r="A160"/>
      <c r="B160"/>
      <c r="C160"/>
    </row>
    <row r="161" spans="1:3" x14ac:dyDescent="0.25">
      <c r="A161"/>
      <c r="B161"/>
      <c r="C161"/>
    </row>
    <row r="162" spans="1:3" x14ac:dyDescent="0.25">
      <c r="A162"/>
      <c r="B162"/>
      <c r="C162"/>
    </row>
    <row r="163" spans="1:3" x14ac:dyDescent="0.25">
      <c r="A163"/>
      <c r="B163"/>
      <c r="C163"/>
    </row>
    <row r="164" spans="1:3" x14ac:dyDescent="0.25">
      <c r="A164"/>
      <c r="B164"/>
      <c r="C164"/>
    </row>
    <row r="165" spans="1:3" x14ac:dyDescent="0.25">
      <c r="A165"/>
      <c r="B165"/>
      <c r="C165"/>
    </row>
    <row r="166" spans="1:3" x14ac:dyDescent="0.25">
      <c r="A166"/>
      <c r="B166"/>
      <c r="C166"/>
    </row>
    <row r="167" spans="1:3" x14ac:dyDescent="0.25">
      <c r="A167"/>
      <c r="B167"/>
      <c r="C167"/>
    </row>
    <row r="168" spans="1:3" x14ac:dyDescent="0.25">
      <c r="A168"/>
      <c r="B168"/>
      <c r="C168"/>
    </row>
    <row r="169" spans="1:3" x14ac:dyDescent="0.25">
      <c r="A169"/>
      <c r="B169"/>
      <c r="C169"/>
    </row>
    <row r="170" spans="1:3" x14ac:dyDescent="0.25">
      <c r="A170"/>
      <c r="B170"/>
      <c r="C170"/>
    </row>
    <row r="171" spans="1:3" x14ac:dyDescent="0.25">
      <c r="A171"/>
      <c r="B171"/>
      <c r="C171"/>
    </row>
    <row r="172" spans="1:3" x14ac:dyDescent="0.25">
      <c r="A172"/>
      <c r="B172"/>
      <c r="C172"/>
    </row>
    <row r="173" spans="1:3" x14ac:dyDescent="0.25">
      <c r="A173"/>
      <c r="B173"/>
      <c r="C173"/>
    </row>
    <row r="174" spans="1:3" x14ac:dyDescent="0.25">
      <c r="A174"/>
      <c r="B174"/>
      <c r="C174"/>
    </row>
    <row r="175" spans="1:3" x14ac:dyDescent="0.25">
      <c r="A175"/>
      <c r="B175"/>
      <c r="C175"/>
    </row>
    <row r="176" spans="1:3" x14ac:dyDescent="0.25">
      <c r="A176"/>
      <c r="B176"/>
      <c r="C176"/>
    </row>
    <row r="177" spans="1:3" x14ac:dyDescent="0.25">
      <c r="A177"/>
      <c r="B177"/>
      <c r="C177"/>
    </row>
    <row r="178" spans="1:3" x14ac:dyDescent="0.25">
      <c r="A178"/>
      <c r="B178"/>
      <c r="C178"/>
    </row>
    <row r="179" spans="1:3" x14ac:dyDescent="0.25">
      <c r="A179"/>
      <c r="B179"/>
      <c r="C179"/>
    </row>
    <row r="180" spans="1:3" x14ac:dyDescent="0.25">
      <c r="A180"/>
      <c r="B180"/>
      <c r="C180"/>
    </row>
    <row r="181" spans="1:3" x14ac:dyDescent="0.25">
      <c r="A181"/>
      <c r="B181"/>
      <c r="C181"/>
    </row>
    <row r="182" spans="1:3" x14ac:dyDescent="0.25">
      <c r="A182"/>
      <c r="B182"/>
      <c r="C182"/>
    </row>
    <row r="183" spans="1:3" x14ac:dyDescent="0.25">
      <c r="A183"/>
      <c r="B183"/>
      <c r="C183"/>
    </row>
    <row r="184" spans="1:3" x14ac:dyDescent="0.25">
      <c r="A184"/>
      <c r="B184"/>
      <c r="C184"/>
    </row>
    <row r="185" spans="1:3" x14ac:dyDescent="0.25">
      <c r="A185"/>
      <c r="B185"/>
      <c r="C185"/>
    </row>
    <row r="186" spans="1:3" x14ac:dyDescent="0.25">
      <c r="A186"/>
      <c r="B186"/>
      <c r="C186"/>
    </row>
    <row r="187" spans="1:3" x14ac:dyDescent="0.25">
      <c r="A187"/>
      <c r="B187"/>
      <c r="C187"/>
    </row>
    <row r="188" spans="1:3" x14ac:dyDescent="0.25">
      <c r="A188"/>
      <c r="B188"/>
      <c r="C188"/>
    </row>
    <row r="189" spans="1:3" x14ac:dyDescent="0.25">
      <c r="A189"/>
      <c r="B189"/>
      <c r="C189"/>
    </row>
    <row r="190" spans="1:3" x14ac:dyDescent="0.25">
      <c r="A190"/>
      <c r="B190"/>
      <c r="C190"/>
    </row>
    <row r="191" spans="1:3" x14ac:dyDescent="0.25">
      <c r="A191"/>
      <c r="B191"/>
      <c r="C191"/>
    </row>
    <row r="192" spans="1:3" x14ac:dyDescent="0.25">
      <c r="A192"/>
      <c r="B192"/>
      <c r="C192"/>
    </row>
    <row r="193" spans="1:3" x14ac:dyDescent="0.25">
      <c r="A193"/>
      <c r="B193"/>
      <c r="C193"/>
    </row>
    <row r="194" spans="1:3" x14ac:dyDescent="0.25">
      <c r="A194"/>
      <c r="B194"/>
      <c r="C194"/>
    </row>
    <row r="195" spans="1:3" x14ac:dyDescent="0.25">
      <c r="A195"/>
      <c r="B195"/>
      <c r="C195"/>
    </row>
    <row r="196" spans="1:3" x14ac:dyDescent="0.25">
      <c r="A196"/>
      <c r="B196"/>
      <c r="C196"/>
    </row>
    <row r="197" spans="1:3" x14ac:dyDescent="0.25">
      <c r="A197"/>
      <c r="B197"/>
      <c r="C197"/>
    </row>
    <row r="198" spans="1:3" x14ac:dyDescent="0.25">
      <c r="A198"/>
      <c r="B198"/>
      <c r="C198"/>
    </row>
    <row r="199" spans="1:3" x14ac:dyDescent="0.25">
      <c r="A199"/>
      <c r="B199"/>
      <c r="C199"/>
    </row>
    <row r="200" spans="1:3" x14ac:dyDescent="0.25">
      <c r="A200"/>
      <c r="B200"/>
      <c r="C200"/>
    </row>
    <row r="201" spans="1:3" x14ac:dyDescent="0.25">
      <c r="A201"/>
      <c r="B201"/>
      <c r="C201"/>
    </row>
    <row r="202" spans="1:3" x14ac:dyDescent="0.25">
      <c r="A202"/>
      <c r="B202"/>
      <c r="C202"/>
    </row>
    <row r="203" spans="1:3" x14ac:dyDescent="0.25">
      <c r="A203"/>
      <c r="B203"/>
      <c r="C203"/>
    </row>
    <row r="204" spans="1:3" x14ac:dyDescent="0.25">
      <c r="A204"/>
      <c r="B204"/>
      <c r="C204"/>
    </row>
    <row r="205" spans="1:3" x14ac:dyDescent="0.25">
      <c r="A205"/>
      <c r="B205"/>
      <c r="C205"/>
    </row>
    <row r="206" spans="1:3" x14ac:dyDescent="0.25">
      <c r="A206"/>
      <c r="B206"/>
      <c r="C206"/>
    </row>
    <row r="207" spans="1:3" x14ac:dyDescent="0.25">
      <c r="A207"/>
      <c r="B207"/>
      <c r="C207"/>
    </row>
    <row r="208" spans="1:3" x14ac:dyDescent="0.25">
      <c r="A208"/>
      <c r="B208"/>
      <c r="C208"/>
    </row>
    <row r="209" spans="1:3" x14ac:dyDescent="0.25">
      <c r="A209"/>
      <c r="B209"/>
      <c r="C209"/>
    </row>
    <row r="210" spans="1:3" x14ac:dyDescent="0.25">
      <c r="A210"/>
      <c r="B210"/>
      <c r="C210"/>
    </row>
    <row r="211" spans="1:3" x14ac:dyDescent="0.25">
      <c r="A211"/>
      <c r="B211"/>
      <c r="C211"/>
    </row>
    <row r="212" spans="1:3" x14ac:dyDescent="0.25">
      <c r="A212"/>
      <c r="B212"/>
      <c r="C212"/>
    </row>
    <row r="213" spans="1:3" x14ac:dyDescent="0.25">
      <c r="A213"/>
      <c r="B213"/>
      <c r="C213"/>
    </row>
    <row r="214" spans="1:3" x14ac:dyDescent="0.25">
      <c r="A214"/>
      <c r="B214"/>
      <c r="C214"/>
    </row>
    <row r="215" spans="1:3" x14ac:dyDescent="0.25">
      <c r="A215"/>
      <c r="B215"/>
      <c r="C215"/>
    </row>
    <row r="216" spans="1:3" x14ac:dyDescent="0.25">
      <c r="A216"/>
      <c r="B216"/>
      <c r="C216"/>
    </row>
    <row r="217" spans="1:3" x14ac:dyDescent="0.25">
      <c r="A217"/>
      <c r="B217"/>
      <c r="C217"/>
    </row>
    <row r="218" spans="1:3" x14ac:dyDescent="0.25">
      <c r="A218"/>
      <c r="B218"/>
      <c r="C218"/>
    </row>
    <row r="219" spans="1:3" x14ac:dyDescent="0.25">
      <c r="A219"/>
      <c r="B219"/>
      <c r="C219"/>
    </row>
    <row r="220" spans="1:3" x14ac:dyDescent="0.25">
      <c r="A220"/>
      <c r="B220"/>
      <c r="C220"/>
    </row>
    <row r="221" spans="1:3" x14ac:dyDescent="0.25">
      <c r="A221"/>
      <c r="B221"/>
      <c r="C221"/>
    </row>
    <row r="222" spans="1:3" x14ac:dyDescent="0.25">
      <c r="A222"/>
      <c r="B222"/>
      <c r="C222"/>
    </row>
    <row r="223" spans="1:3" x14ac:dyDescent="0.25">
      <c r="A223"/>
      <c r="B223"/>
      <c r="C223"/>
    </row>
    <row r="224" spans="1:3" x14ac:dyDescent="0.25">
      <c r="A224"/>
      <c r="B224"/>
      <c r="C224"/>
    </row>
    <row r="225" spans="1:3" x14ac:dyDescent="0.25">
      <c r="A225"/>
      <c r="B225"/>
      <c r="C225"/>
    </row>
    <row r="226" spans="1:3" x14ac:dyDescent="0.25">
      <c r="A226"/>
      <c r="B226"/>
      <c r="C226"/>
    </row>
    <row r="227" spans="1:3" x14ac:dyDescent="0.25">
      <c r="A227"/>
      <c r="B227"/>
      <c r="C227"/>
    </row>
    <row r="228" spans="1:3" x14ac:dyDescent="0.25">
      <c r="A228"/>
      <c r="B228"/>
      <c r="C228"/>
    </row>
    <row r="229" spans="1:3" x14ac:dyDescent="0.25">
      <c r="A229"/>
      <c r="B229"/>
      <c r="C229"/>
    </row>
    <row r="230" spans="1:3" x14ac:dyDescent="0.25">
      <c r="A230"/>
      <c r="B230"/>
      <c r="C230"/>
    </row>
    <row r="231" spans="1:3" x14ac:dyDescent="0.25">
      <c r="A231"/>
      <c r="B231"/>
      <c r="C231"/>
    </row>
    <row r="232" spans="1:3" x14ac:dyDescent="0.25">
      <c r="A232"/>
      <c r="B232"/>
      <c r="C232"/>
    </row>
    <row r="233" spans="1:3" x14ac:dyDescent="0.25">
      <c r="A233"/>
      <c r="B233"/>
      <c r="C233"/>
    </row>
    <row r="234" spans="1:3" x14ac:dyDescent="0.25">
      <c r="A234"/>
      <c r="B234"/>
      <c r="C234"/>
    </row>
    <row r="235" spans="1:3" x14ac:dyDescent="0.25">
      <c r="A235"/>
      <c r="B235"/>
      <c r="C235"/>
    </row>
    <row r="236" spans="1:3" x14ac:dyDescent="0.25">
      <c r="A236"/>
      <c r="B236"/>
      <c r="C236"/>
    </row>
    <row r="237" spans="1:3" x14ac:dyDescent="0.25">
      <c r="A237"/>
      <c r="B237"/>
      <c r="C237"/>
    </row>
    <row r="238" spans="1:3" x14ac:dyDescent="0.25">
      <c r="A238"/>
      <c r="B238"/>
      <c r="C238"/>
    </row>
    <row r="239" spans="1:3" x14ac:dyDescent="0.25">
      <c r="A239"/>
      <c r="B239"/>
      <c r="C239"/>
    </row>
    <row r="240" spans="1:3" x14ac:dyDescent="0.25">
      <c r="A240"/>
      <c r="B240"/>
      <c r="C240"/>
    </row>
    <row r="241" spans="1:3" x14ac:dyDescent="0.25">
      <c r="A241"/>
      <c r="B241"/>
      <c r="C241"/>
    </row>
    <row r="242" spans="1:3" x14ac:dyDescent="0.25">
      <c r="A242"/>
      <c r="B242"/>
      <c r="C242"/>
    </row>
    <row r="243" spans="1:3" x14ac:dyDescent="0.25">
      <c r="A243"/>
      <c r="B243"/>
      <c r="C243"/>
    </row>
    <row r="244" spans="1:3" x14ac:dyDescent="0.25">
      <c r="A244"/>
      <c r="B244"/>
      <c r="C244"/>
    </row>
    <row r="245" spans="1:3" x14ac:dyDescent="0.25">
      <c r="A245"/>
      <c r="B245"/>
      <c r="C245"/>
    </row>
    <row r="246" spans="1:3" x14ac:dyDescent="0.25">
      <c r="A246"/>
      <c r="B246"/>
      <c r="C246"/>
    </row>
    <row r="247" spans="1:3" x14ac:dyDescent="0.25">
      <c r="A247"/>
      <c r="B247"/>
      <c r="C247"/>
    </row>
    <row r="248" spans="1:3" x14ac:dyDescent="0.25">
      <c r="A248"/>
      <c r="B248"/>
      <c r="C248"/>
    </row>
    <row r="249" spans="1:3" x14ac:dyDescent="0.25">
      <c r="A249"/>
      <c r="B249"/>
      <c r="C249"/>
    </row>
    <row r="250" spans="1:3" x14ac:dyDescent="0.25">
      <c r="A250"/>
      <c r="B250"/>
      <c r="C250"/>
    </row>
    <row r="251" spans="1:3" x14ac:dyDescent="0.25">
      <c r="A251"/>
      <c r="B251"/>
      <c r="C251"/>
    </row>
    <row r="252" spans="1:3" x14ac:dyDescent="0.25">
      <c r="A252"/>
      <c r="B252"/>
      <c r="C252"/>
    </row>
    <row r="253" spans="1:3" x14ac:dyDescent="0.25">
      <c r="A253"/>
      <c r="B253"/>
      <c r="C253"/>
    </row>
    <row r="254" spans="1:3" x14ac:dyDescent="0.25">
      <c r="A254"/>
      <c r="B254"/>
      <c r="C254"/>
    </row>
    <row r="255" spans="1:3" x14ac:dyDescent="0.25">
      <c r="A255"/>
      <c r="B255"/>
      <c r="C255"/>
    </row>
    <row r="256" spans="1:3" x14ac:dyDescent="0.25">
      <c r="A256"/>
      <c r="B256"/>
      <c r="C256"/>
    </row>
    <row r="257" spans="1:3" x14ac:dyDescent="0.25">
      <c r="A257"/>
      <c r="B257"/>
      <c r="C257"/>
    </row>
    <row r="258" spans="1:3" x14ac:dyDescent="0.25">
      <c r="A258"/>
      <c r="B258"/>
      <c r="C258"/>
    </row>
    <row r="259" spans="1:3" x14ac:dyDescent="0.25">
      <c r="A259"/>
      <c r="B259"/>
      <c r="C259"/>
    </row>
    <row r="260" spans="1:3" x14ac:dyDescent="0.25">
      <c r="A260"/>
      <c r="B260"/>
      <c r="C260"/>
    </row>
    <row r="261" spans="1:3" x14ac:dyDescent="0.25">
      <c r="A261"/>
      <c r="B261"/>
      <c r="C261"/>
    </row>
    <row r="262" spans="1:3" x14ac:dyDescent="0.25">
      <c r="A262"/>
      <c r="B262"/>
      <c r="C262"/>
    </row>
    <row r="263" spans="1:3" x14ac:dyDescent="0.25">
      <c r="A263"/>
      <c r="B263"/>
      <c r="C263"/>
    </row>
    <row r="264" spans="1:3" x14ac:dyDescent="0.25">
      <c r="A264"/>
      <c r="B264"/>
      <c r="C264"/>
    </row>
    <row r="265" spans="1:3" x14ac:dyDescent="0.25">
      <c r="A265"/>
      <c r="B265"/>
      <c r="C265"/>
    </row>
    <row r="266" spans="1:3" x14ac:dyDescent="0.25">
      <c r="A266"/>
      <c r="B266"/>
      <c r="C266"/>
    </row>
    <row r="267" spans="1:3" x14ac:dyDescent="0.25">
      <c r="A267"/>
      <c r="B267"/>
      <c r="C267"/>
    </row>
    <row r="268" spans="1:3" x14ac:dyDescent="0.25">
      <c r="A268"/>
      <c r="B268"/>
      <c r="C268"/>
    </row>
    <row r="269" spans="1:3" x14ac:dyDescent="0.25">
      <c r="A269"/>
      <c r="B269"/>
      <c r="C269"/>
    </row>
    <row r="270" spans="1:3" x14ac:dyDescent="0.25">
      <c r="A270"/>
      <c r="B270"/>
      <c r="C270"/>
    </row>
    <row r="271" spans="1:3" x14ac:dyDescent="0.25">
      <c r="A271"/>
      <c r="B271"/>
      <c r="C271"/>
    </row>
    <row r="272" spans="1:3" x14ac:dyDescent="0.25">
      <c r="A272"/>
      <c r="B272"/>
      <c r="C272"/>
    </row>
    <row r="273" spans="1:3" x14ac:dyDescent="0.25">
      <c r="A273"/>
      <c r="B273"/>
      <c r="C273"/>
    </row>
    <row r="274" spans="1:3" x14ac:dyDescent="0.25">
      <c r="A274"/>
      <c r="B274"/>
      <c r="C274"/>
    </row>
    <row r="275" spans="1:3" x14ac:dyDescent="0.25">
      <c r="A275"/>
      <c r="B275"/>
      <c r="C275"/>
    </row>
    <row r="276" spans="1:3" x14ac:dyDescent="0.25">
      <c r="A276"/>
      <c r="B276"/>
      <c r="C276"/>
    </row>
    <row r="277" spans="1:3" x14ac:dyDescent="0.25">
      <c r="A277"/>
      <c r="B277"/>
      <c r="C277"/>
    </row>
    <row r="278" spans="1:3" x14ac:dyDescent="0.25">
      <c r="A278"/>
      <c r="B278"/>
      <c r="C278"/>
    </row>
    <row r="279" spans="1:3" x14ac:dyDescent="0.25">
      <c r="A279"/>
      <c r="B279"/>
      <c r="C279"/>
    </row>
    <row r="280" spans="1:3" x14ac:dyDescent="0.25">
      <c r="A280"/>
      <c r="B280"/>
      <c r="C280"/>
    </row>
    <row r="281" spans="1:3" x14ac:dyDescent="0.25">
      <c r="A281"/>
      <c r="B281"/>
      <c r="C281"/>
    </row>
    <row r="282" spans="1:3" x14ac:dyDescent="0.25">
      <c r="A282"/>
      <c r="B282"/>
      <c r="C282"/>
    </row>
    <row r="283" spans="1:3" x14ac:dyDescent="0.25">
      <c r="A283"/>
      <c r="B283"/>
      <c r="C283"/>
    </row>
    <row r="284" spans="1:3" x14ac:dyDescent="0.25">
      <c r="A284"/>
      <c r="B284"/>
      <c r="C284"/>
    </row>
    <row r="285" spans="1:3" x14ac:dyDescent="0.25">
      <c r="A285"/>
      <c r="B285"/>
      <c r="C285"/>
    </row>
    <row r="286" spans="1:3" x14ac:dyDescent="0.25">
      <c r="A286"/>
      <c r="B286"/>
      <c r="C286"/>
    </row>
    <row r="287" spans="1:3" x14ac:dyDescent="0.25">
      <c r="A287"/>
      <c r="B287"/>
      <c r="C287"/>
    </row>
    <row r="288" spans="1:3" x14ac:dyDescent="0.25">
      <c r="A288"/>
      <c r="B288"/>
      <c r="C288"/>
    </row>
    <row r="289" spans="1:3" x14ac:dyDescent="0.25">
      <c r="A289"/>
      <c r="B289"/>
      <c r="C289"/>
    </row>
    <row r="290" spans="1:3" x14ac:dyDescent="0.25">
      <c r="A290"/>
      <c r="B290"/>
      <c r="C290"/>
    </row>
    <row r="291" spans="1:3" x14ac:dyDescent="0.25">
      <c r="A291"/>
      <c r="B291"/>
      <c r="C291"/>
    </row>
    <row r="292" spans="1:3" x14ac:dyDescent="0.25">
      <c r="A292"/>
      <c r="B292"/>
      <c r="C292"/>
    </row>
    <row r="293" spans="1:3" x14ac:dyDescent="0.25">
      <c r="A293"/>
      <c r="B293"/>
      <c r="C293"/>
    </row>
    <row r="294" spans="1:3" x14ac:dyDescent="0.25">
      <c r="A294"/>
      <c r="B294"/>
      <c r="C294"/>
    </row>
    <row r="295" spans="1:3" x14ac:dyDescent="0.25">
      <c r="A295"/>
      <c r="B295"/>
      <c r="C295"/>
    </row>
    <row r="296" spans="1:3" x14ac:dyDescent="0.25">
      <c r="A296"/>
      <c r="B296"/>
      <c r="C296"/>
    </row>
    <row r="297" spans="1:3" x14ac:dyDescent="0.25">
      <c r="A297"/>
      <c r="B297"/>
      <c r="C297"/>
    </row>
    <row r="298" spans="1:3" x14ac:dyDescent="0.25">
      <c r="A298"/>
      <c r="B298"/>
      <c r="C298"/>
    </row>
    <row r="299" spans="1:3" x14ac:dyDescent="0.25">
      <c r="A299"/>
      <c r="B299"/>
      <c r="C299"/>
    </row>
    <row r="300" spans="1:3" x14ac:dyDescent="0.25">
      <c r="A300"/>
      <c r="B300"/>
      <c r="C300"/>
    </row>
    <row r="301" spans="1:3" x14ac:dyDescent="0.25">
      <c r="A301"/>
      <c r="B301"/>
      <c r="C301"/>
    </row>
    <row r="302" spans="1:3" x14ac:dyDescent="0.25">
      <c r="A302"/>
      <c r="B302"/>
      <c r="C302"/>
    </row>
    <row r="303" spans="1:3" x14ac:dyDescent="0.25">
      <c r="A303"/>
      <c r="B303"/>
      <c r="C303"/>
    </row>
    <row r="304" spans="1:3" x14ac:dyDescent="0.25">
      <c r="A304"/>
      <c r="B304"/>
      <c r="C304"/>
    </row>
    <row r="305" spans="1:3" x14ac:dyDescent="0.25">
      <c r="A305"/>
      <c r="B305"/>
      <c r="C305"/>
    </row>
    <row r="306" spans="1:3" x14ac:dyDescent="0.25">
      <c r="A306"/>
      <c r="B306"/>
      <c r="C306"/>
    </row>
    <row r="307" spans="1:3" x14ac:dyDescent="0.25">
      <c r="A307"/>
      <c r="B307"/>
      <c r="C307"/>
    </row>
    <row r="308" spans="1:3" x14ac:dyDescent="0.25">
      <c r="A308"/>
      <c r="B308"/>
      <c r="C308"/>
    </row>
    <row r="309" spans="1:3" x14ac:dyDescent="0.25">
      <c r="A309"/>
      <c r="B309"/>
      <c r="C309"/>
    </row>
    <row r="310" spans="1:3" x14ac:dyDescent="0.25">
      <c r="A310"/>
      <c r="B310"/>
      <c r="C310"/>
    </row>
    <row r="311" spans="1:3" x14ac:dyDescent="0.25">
      <c r="A311"/>
      <c r="B311"/>
      <c r="C311"/>
    </row>
    <row r="312" spans="1:3" x14ac:dyDescent="0.25">
      <c r="A312"/>
      <c r="B312"/>
      <c r="C312"/>
    </row>
    <row r="313" spans="1:3" x14ac:dyDescent="0.25">
      <c r="A313"/>
      <c r="B313"/>
      <c r="C313"/>
    </row>
    <row r="314" spans="1:3" x14ac:dyDescent="0.25">
      <c r="A314"/>
      <c r="B314"/>
      <c r="C314"/>
    </row>
    <row r="315" spans="1:3" x14ac:dyDescent="0.25">
      <c r="A315"/>
      <c r="B315"/>
      <c r="C315"/>
    </row>
    <row r="316" spans="1:3" x14ac:dyDescent="0.25">
      <c r="A316"/>
      <c r="B316"/>
      <c r="C316"/>
    </row>
    <row r="317" spans="1:3" x14ac:dyDescent="0.25">
      <c r="A317"/>
      <c r="B317"/>
      <c r="C317"/>
    </row>
    <row r="318" spans="1:3" x14ac:dyDescent="0.25">
      <c r="A318"/>
      <c r="B318"/>
      <c r="C318"/>
    </row>
    <row r="319" spans="1:3" x14ac:dyDescent="0.25">
      <c r="A319"/>
      <c r="B319"/>
      <c r="C319"/>
    </row>
    <row r="320" spans="1:3" x14ac:dyDescent="0.25">
      <c r="A320"/>
      <c r="B320"/>
      <c r="C320"/>
    </row>
    <row r="321" spans="1:3" x14ac:dyDescent="0.25">
      <c r="A321"/>
      <c r="B321"/>
      <c r="C321"/>
    </row>
    <row r="322" spans="1:3" x14ac:dyDescent="0.25">
      <c r="A322"/>
      <c r="B322"/>
      <c r="C322"/>
    </row>
    <row r="323" spans="1:3" x14ac:dyDescent="0.25">
      <c r="A323"/>
      <c r="B323"/>
      <c r="C323"/>
    </row>
    <row r="324" spans="1:3" x14ac:dyDescent="0.25">
      <c r="A324"/>
      <c r="B324"/>
      <c r="C324"/>
    </row>
    <row r="325" spans="1:3" x14ac:dyDescent="0.25">
      <c r="A325"/>
      <c r="B325"/>
      <c r="C325"/>
    </row>
    <row r="326" spans="1:3" x14ac:dyDescent="0.25">
      <c r="A326"/>
      <c r="B326"/>
      <c r="C326"/>
    </row>
    <row r="327" spans="1:3" x14ac:dyDescent="0.25">
      <c r="A327"/>
      <c r="B327"/>
      <c r="C327"/>
    </row>
    <row r="328" spans="1:3" x14ac:dyDescent="0.25">
      <c r="A328"/>
      <c r="B328"/>
      <c r="C328"/>
    </row>
    <row r="329" spans="1:3" x14ac:dyDescent="0.25">
      <c r="A329"/>
      <c r="B329"/>
      <c r="C329"/>
    </row>
    <row r="330" spans="1:3" x14ac:dyDescent="0.25">
      <c r="A330"/>
      <c r="B330"/>
      <c r="C330"/>
    </row>
    <row r="331" spans="1:3" x14ac:dyDescent="0.25">
      <c r="A331"/>
      <c r="B331"/>
      <c r="C331"/>
    </row>
    <row r="332" spans="1:3" x14ac:dyDescent="0.25">
      <c r="A332"/>
      <c r="B332"/>
      <c r="C332"/>
    </row>
    <row r="333" spans="1:3" x14ac:dyDescent="0.25">
      <c r="A333"/>
      <c r="B333"/>
      <c r="C333"/>
    </row>
    <row r="334" spans="1:3" x14ac:dyDescent="0.25">
      <c r="A334"/>
      <c r="B334"/>
      <c r="C334"/>
    </row>
    <row r="335" spans="1:3" x14ac:dyDescent="0.25">
      <c r="A335"/>
      <c r="B335"/>
      <c r="C335"/>
    </row>
    <row r="336" spans="1:3" x14ac:dyDescent="0.25">
      <c r="A336"/>
      <c r="B336"/>
      <c r="C336"/>
    </row>
    <row r="337" spans="1:3" x14ac:dyDescent="0.25">
      <c r="A337"/>
      <c r="B337"/>
      <c r="C337"/>
    </row>
    <row r="338" spans="1:3" x14ac:dyDescent="0.25">
      <c r="A338"/>
      <c r="B338"/>
      <c r="C338"/>
    </row>
    <row r="339" spans="1:3" x14ac:dyDescent="0.25">
      <c r="A339"/>
      <c r="B339"/>
      <c r="C339"/>
    </row>
    <row r="340" spans="1:3" x14ac:dyDescent="0.25">
      <c r="A340"/>
      <c r="B340"/>
      <c r="C340"/>
    </row>
    <row r="341" spans="1:3" x14ac:dyDescent="0.25">
      <c r="A341"/>
      <c r="B341"/>
      <c r="C341"/>
    </row>
    <row r="342" spans="1:3" x14ac:dyDescent="0.25">
      <c r="A342"/>
      <c r="B342"/>
      <c r="C342"/>
    </row>
    <row r="343" spans="1:3" x14ac:dyDescent="0.25">
      <c r="A343"/>
      <c r="B343"/>
      <c r="C343"/>
    </row>
    <row r="344" spans="1:3" x14ac:dyDescent="0.25">
      <c r="A344"/>
      <c r="B344"/>
      <c r="C344"/>
    </row>
    <row r="345" spans="1:3" x14ac:dyDescent="0.25">
      <c r="A345"/>
      <c r="B345"/>
      <c r="C345"/>
    </row>
    <row r="346" spans="1:3" x14ac:dyDescent="0.25">
      <c r="A346"/>
      <c r="B346"/>
      <c r="C346"/>
    </row>
    <row r="347" spans="1:3" x14ac:dyDescent="0.25">
      <c r="A347"/>
      <c r="B347"/>
      <c r="C347"/>
    </row>
    <row r="348" spans="1:3" x14ac:dyDescent="0.25">
      <c r="A348"/>
      <c r="B348"/>
      <c r="C348"/>
    </row>
    <row r="349" spans="1:3" x14ac:dyDescent="0.25">
      <c r="A349"/>
      <c r="B349"/>
      <c r="C349"/>
    </row>
    <row r="350" spans="1:3" x14ac:dyDescent="0.25">
      <c r="A350"/>
      <c r="B350"/>
      <c r="C350"/>
    </row>
    <row r="351" spans="1:3" x14ac:dyDescent="0.25">
      <c r="A351"/>
      <c r="B351"/>
      <c r="C351"/>
    </row>
    <row r="352" spans="1:3" x14ac:dyDescent="0.25">
      <c r="A352"/>
      <c r="B352"/>
      <c r="C352"/>
    </row>
    <row r="353" spans="1:3" x14ac:dyDescent="0.25">
      <c r="A353"/>
      <c r="B353"/>
      <c r="C353"/>
    </row>
    <row r="354" spans="1:3" x14ac:dyDescent="0.25">
      <c r="A354"/>
      <c r="B354"/>
      <c r="C354"/>
    </row>
    <row r="355" spans="1:3" x14ac:dyDescent="0.25">
      <c r="A355"/>
      <c r="B355"/>
      <c r="C355"/>
    </row>
    <row r="356" spans="1:3" x14ac:dyDescent="0.25">
      <c r="A356"/>
      <c r="B356"/>
      <c r="C356"/>
    </row>
    <row r="357" spans="1:3" x14ac:dyDescent="0.25">
      <c r="A357"/>
      <c r="B357"/>
      <c r="C357"/>
    </row>
    <row r="358" spans="1:3" x14ac:dyDescent="0.25">
      <c r="A358"/>
      <c r="B358"/>
      <c r="C358"/>
    </row>
    <row r="359" spans="1:3" x14ac:dyDescent="0.25">
      <c r="A359"/>
      <c r="B359"/>
      <c r="C359"/>
    </row>
    <row r="360" spans="1:3" x14ac:dyDescent="0.25">
      <c r="A360"/>
      <c r="B360"/>
      <c r="C360"/>
    </row>
    <row r="361" spans="1:3" x14ac:dyDescent="0.25">
      <c r="A361"/>
      <c r="B361"/>
      <c r="C361"/>
    </row>
    <row r="362" spans="1:3" x14ac:dyDescent="0.25">
      <c r="A362"/>
      <c r="B362"/>
      <c r="C362"/>
    </row>
    <row r="363" spans="1:3" x14ac:dyDescent="0.25">
      <c r="A363"/>
      <c r="B363"/>
      <c r="C363"/>
    </row>
    <row r="364" spans="1:3" x14ac:dyDescent="0.25">
      <c r="A364"/>
      <c r="B364"/>
      <c r="C364"/>
    </row>
    <row r="365" spans="1:3" x14ac:dyDescent="0.25">
      <c r="A365"/>
      <c r="B365"/>
      <c r="C365"/>
    </row>
    <row r="366" spans="1:3" x14ac:dyDescent="0.25">
      <c r="A366"/>
      <c r="B366"/>
      <c r="C366"/>
    </row>
    <row r="367" spans="1:3" x14ac:dyDescent="0.25">
      <c r="A367"/>
      <c r="B367"/>
      <c r="C367"/>
    </row>
    <row r="368" spans="1:3" x14ac:dyDescent="0.25">
      <c r="A368"/>
      <c r="B368"/>
      <c r="C368"/>
    </row>
    <row r="369" spans="1:3" x14ac:dyDescent="0.25">
      <c r="A369"/>
      <c r="B369"/>
      <c r="C369"/>
    </row>
    <row r="370" spans="1:3" x14ac:dyDescent="0.25">
      <c r="A370"/>
      <c r="B370"/>
      <c r="C370"/>
    </row>
    <row r="371" spans="1:3" x14ac:dyDescent="0.25">
      <c r="A371"/>
      <c r="B371"/>
      <c r="C371"/>
    </row>
    <row r="372" spans="1:3" x14ac:dyDescent="0.25">
      <c r="A372"/>
      <c r="B372"/>
      <c r="C372"/>
    </row>
    <row r="373" spans="1:3" x14ac:dyDescent="0.25">
      <c r="A373"/>
      <c r="B373"/>
      <c r="C373"/>
    </row>
    <row r="374" spans="1:3" x14ac:dyDescent="0.25">
      <c r="A374"/>
      <c r="B374"/>
      <c r="C374"/>
    </row>
    <row r="375" spans="1:3" x14ac:dyDescent="0.25">
      <c r="A375"/>
      <c r="B375"/>
      <c r="C375"/>
    </row>
    <row r="376" spans="1:3" x14ac:dyDescent="0.25">
      <c r="A376"/>
      <c r="B376"/>
      <c r="C376"/>
    </row>
    <row r="377" spans="1:3" x14ac:dyDescent="0.25">
      <c r="A377"/>
      <c r="B377"/>
      <c r="C377"/>
    </row>
    <row r="378" spans="1:3" x14ac:dyDescent="0.25">
      <c r="A378"/>
      <c r="B378"/>
      <c r="C378"/>
    </row>
    <row r="379" spans="1:3" x14ac:dyDescent="0.25">
      <c r="A379"/>
      <c r="B379"/>
      <c r="C379"/>
    </row>
    <row r="380" spans="1:3" x14ac:dyDescent="0.25">
      <c r="A380"/>
      <c r="B380"/>
      <c r="C380"/>
    </row>
    <row r="381" spans="1:3" x14ac:dyDescent="0.25">
      <c r="A381"/>
      <c r="B381"/>
      <c r="C381"/>
    </row>
    <row r="382" spans="1:3" x14ac:dyDescent="0.25">
      <c r="A382"/>
      <c r="B382"/>
      <c r="C382"/>
    </row>
    <row r="383" spans="1:3" x14ac:dyDescent="0.25">
      <c r="A383"/>
      <c r="B383"/>
      <c r="C383"/>
    </row>
    <row r="384" spans="1:3" x14ac:dyDescent="0.25">
      <c r="A384"/>
      <c r="B384"/>
      <c r="C384"/>
    </row>
    <row r="385" spans="1:3" x14ac:dyDescent="0.25">
      <c r="A385"/>
      <c r="B385"/>
      <c r="C385"/>
    </row>
    <row r="386" spans="1:3" x14ac:dyDescent="0.25">
      <c r="A386"/>
      <c r="B386"/>
      <c r="C386"/>
    </row>
    <row r="387" spans="1:3" x14ac:dyDescent="0.25">
      <c r="A387"/>
      <c r="B387"/>
      <c r="C387"/>
    </row>
    <row r="388" spans="1:3" x14ac:dyDescent="0.25">
      <c r="A388"/>
      <c r="B388"/>
      <c r="C388"/>
    </row>
    <row r="389" spans="1:3" x14ac:dyDescent="0.25">
      <c r="A389"/>
      <c r="B389"/>
      <c r="C389"/>
    </row>
    <row r="390" spans="1:3" x14ac:dyDescent="0.25">
      <c r="A390"/>
      <c r="B390"/>
      <c r="C390"/>
    </row>
    <row r="391" spans="1:3" x14ac:dyDescent="0.25">
      <c r="A391"/>
      <c r="B391"/>
      <c r="C391"/>
    </row>
    <row r="392" spans="1:3" x14ac:dyDescent="0.25">
      <c r="A392"/>
      <c r="B392"/>
      <c r="C392"/>
    </row>
    <row r="393" spans="1:3" x14ac:dyDescent="0.25">
      <c r="A393"/>
      <c r="B393"/>
      <c r="C393"/>
    </row>
    <row r="394" spans="1:3" x14ac:dyDescent="0.25">
      <c r="A394"/>
      <c r="B394"/>
      <c r="C394"/>
    </row>
    <row r="395" spans="1:3" x14ac:dyDescent="0.25">
      <c r="A395"/>
      <c r="B395"/>
      <c r="C395"/>
    </row>
    <row r="396" spans="1:3" x14ac:dyDescent="0.25">
      <c r="A396"/>
      <c r="B396"/>
      <c r="C396"/>
    </row>
    <row r="397" spans="1:3" x14ac:dyDescent="0.25">
      <c r="A397"/>
      <c r="B397"/>
      <c r="C397"/>
    </row>
    <row r="398" spans="1:3" x14ac:dyDescent="0.25">
      <c r="A398"/>
      <c r="B398"/>
      <c r="C398"/>
    </row>
    <row r="399" spans="1:3" x14ac:dyDescent="0.25">
      <c r="A399"/>
      <c r="B399"/>
      <c r="C399"/>
    </row>
    <row r="400" spans="1:3" x14ac:dyDescent="0.25">
      <c r="A400"/>
      <c r="B400"/>
      <c r="C400"/>
    </row>
    <row r="401" spans="1:3" x14ac:dyDescent="0.25">
      <c r="A401"/>
      <c r="B401"/>
      <c r="C401"/>
    </row>
    <row r="402" spans="1:3" x14ac:dyDescent="0.25">
      <c r="A402"/>
      <c r="B402"/>
      <c r="C402"/>
    </row>
    <row r="403" spans="1:3" x14ac:dyDescent="0.25">
      <c r="A403"/>
      <c r="B403"/>
      <c r="C403"/>
    </row>
    <row r="404" spans="1:3" x14ac:dyDescent="0.25">
      <c r="A404"/>
      <c r="B404"/>
      <c r="C404"/>
    </row>
    <row r="405" spans="1:3" x14ac:dyDescent="0.25">
      <c r="A405"/>
      <c r="B405"/>
      <c r="C405"/>
    </row>
    <row r="406" spans="1:3" x14ac:dyDescent="0.25">
      <c r="A406"/>
      <c r="B406"/>
      <c r="C406"/>
    </row>
    <row r="407" spans="1:3" x14ac:dyDescent="0.25">
      <c r="A407"/>
      <c r="B407"/>
      <c r="C407"/>
    </row>
    <row r="408" spans="1:3" x14ac:dyDescent="0.25">
      <c r="A408"/>
      <c r="B408"/>
      <c r="C408"/>
    </row>
    <row r="409" spans="1:3" x14ac:dyDescent="0.25">
      <c r="A409"/>
      <c r="B409"/>
      <c r="C409"/>
    </row>
    <row r="410" spans="1:3" x14ac:dyDescent="0.25">
      <c r="A410"/>
      <c r="B410"/>
      <c r="C410"/>
    </row>
    <row r="411" spans="1:3" x14ac:dyDescent="0.25">
      <c r="A411"/>
      <c r="B411"/>
      <c r="C411"/>
    </row>
    <row r="412" spans="1:3" x14ac:dyDescent="0.25">
      <c r="A412"/>
      <c r="B412"/>
      <c r="C412"/>
    </row>
    <row r="413" spans="1:3" x14ac:dyDescent="0.25">
      <c r="A413"/>
      <c r="B413"/>
      <c r="C413"/>
    </row>
    <row r="414" spans="1:3" x14ac:dyDescent="0.25">
      <c r="A414"/>
      <c r="B414"/>
      <c r="C414"/>
    </row>
    <row r="415" spans="1:3" x14ac:dyDescent="0.25">
      <c r="A415"/>
      <c r="B415"/>
      <c r="C415"/>
    </row>
    <row r="416" spans="1:3" x14ac:dyDescent="0.25">
      <c r="A416"/>
      <c r="B416"/>
      <c r="C416"/>
    </row>
    <row r="417" spans="1:3" x14ac:dyDescent="0.25">
      <c r="A417"/>
      <c r="B417"/>
      <c r="C417"/>
    </row>
    <row r="418" spans="1:3" x14ac:dyDescent="0.25">
      <c r="A418"/>
      <c r="B418"/>
      <c r="C418"/>
    </row>
    <row r="419" spans="1:3" x14ac:dyDescent="0.25">
      <c r="A419"/>
      <c r="B419"/>
      <c r="C419"/>
    </row>
    <row r="420" spans="1:3" x14ac:dyDescent="0.25">
      <c r="A420"/>
      <c r="B420"/>
      <c r="C420"/>
    </row>
    <row r="421" spans="1:3" x14ac:dyDescent="0.25">
      <c r="A421"/>
      <c r="B421"/>
      <c r="C421"/>
    </row>
    <row r="422" spans="1:3" x14ac:dyDescent="0.25">
      <c r="A422"/>
      <c r="B422"/>
      <c r="C422"/>
    </row>
    <row r="423" spans="1:3" x14ac:dyDescent="0.25">
      <c r="A423"/>
      <c r="B423"/>
      <c r="C423"/>
    </row>
    <row r="424" spans="1:3" x14ac:dyDescent="0.25">
      <c r="A424"/>
      <c r="B424"/>
      <c r="C424"/>
    </row>
    <row r="425" spans="1:3" x14ac:dyDescent="0.25">
      <c r="A425"/>
      <c r="B425"/>
      <c r="C425"/>
    </row>
    <row r="426" spans="1:3" x14ac:dyDescent="0.25">
      <c r="A426"/>
      <c r="B426"/>
      <c r="C426"/>
    </row>
    <row r="427" spans="1:3" x14ac:dyDescent="0.25">
      <c r="A427"/>
      <c r="B427"/>
      <c r="C427"/>
    </row>
    <row r="428" spans="1:3" x14ac:dyDescent="0.25">
      <c r="A428"/>
      <c r="B428"/>
      <c r="C428"/>
    </row>
    <row r="429" spans="1:3" x14ac:dyDescent="0.25">
      <c r="A429"/>
      <c r="B429"/>
      <c r="C429"/>
    </row>
    <row r="430" spans="1:3" x14ac:dyDescent="0.25">
      <c r="A430"/>
      <c r="B430"/>
      <c r="C430"/>
    </row>
    <row r="431" spans="1:3" x14ac:dyDescent="0.25">
      <c r="A431"/>
      <c r="B431"/>
      <c r="C431"/>
    </row>
    <row r="432" spans="1:3" x14ac:dyDescent="0.25">
      <c r="A432"/>
      <c r="B432"/>
      <c r="C432"/>
    </row>
    <row r="433" spans="1:3" x14ac:dyDescent="0.25">
      <c r="A433"/>
      <c r="B433"/>
      <c r="C433"/>
    </row>
    <row r="434" spans="1:3" x14ac:dyDescent="0.25">
      <c r="A434"/>
      <c r="B434"/>
      <c r="C434"/>
    </row>
    <row r="435" spans="1:3" x14ac:dyDescent="0.25">
      <c r="A435"/>
      <c r="B435"/>
      <c r="C435"/>
    </row>
    <row r="436" spans="1:3" x14ac:dyDescent="0.25">
      <c r="A436"/>
      <c r="B436"/>
      <c r="C436"/>
    </row>
    <row r="437" spans="1:3" x14ac:dyDescent="0.25">
      <c r="A437"/>
      <c r="B437"/>
      <c r="C437"/>
    </row>
    <row r="438" spans="1:3" x14ac:dyDescent="0.25">
      <c r="A438"/>
      <c r="B438"/>
      <c r="C438"/>
    </row>
    <row r="439" spans="1:3" x14ac:dyDescent="0.25">
      <c r="A439"/>
      <c r="B439"/>
      <c r="C439"/>
    </row>
    <row r="440" spans="1:3" x14ac:dyDescent="0.25">
      <c r="A440"/>
      <c r="B440"/>
      <c r="C440"/>
    </row>
    <row r="441" spans="1:3" x14ac:dyDescent="0.25">
      <c r="A441"/>
      <c r="B441"/>
      <c r="C441"/>
    </row>
    <row r="442" spans="1:3" x14ac:dyDescent="0.25">
      <c r="A442"/>
      <c r="B442"/>
      <c r="C442"/>
    </row>
    <row r="443" spans="1:3" x14ac:dyDescent="0.25">
      <c r="A443"/>
      <c r="B443"/>
      <c r="C443"/>
    </row>
    <row r="444" spans="1:3" x14ac:dyDescent="0.25">
      <c r="A444"/>
      <c r="B444"/>
      <c r="C444"/>
    </row>
    <row r="445" spans="1:3" x14ac:dyDescent="0.25">
      <c r="A445"/>
      <c r="B445"/>
      <c r="C445"/>
    </row>
    <row r="446" spans="1:3" x14ac:dyDescent="0.25">
      <c r="A446"/>
      <c r="B446"/>
      <c r="C446"/>
    </row>
    <row r="447" spans="1:3" x14ac:dyDescent="0.25">
      <c r="A447"/>
      <c r="B447"/>
      <c r="C447"/>
    </row>
    <row r="448" spans="1:3" x14ac:dyDescent="0.25">
      <c r="A448"/>
      <c r="B448"/>
      <c r="C448"/>
    </row>
    <row r="449" spans="1:3" x14ac:dyDescent="0.25">
      <c r="A449"/>
      <c r="B449"/>
      <c r="C449"/>
    </row>
    <row r="450" spans="1:3" x14ac:dyDescent="0.25">
      <c r="A450"/>
      <c r="B450"/>
      <c r="C450"/>
    </row>
    <row r="451" spans="1:3" x14ac:dyDescent="0.25">
      <c r="A451"/>
      <c r="B451"/>
      <c r="C451"/>
    </row>
    <row r="452" spans="1:3" x14ac:dyDescent="0.25">
      <c r="A452"/>
      <c r="B452"/>
      <c r="C452"/>
    </row>
    <row r="453" spans="1:3" x14ac:dyDescent="0.25">
      <c r="A453"/>
      <c r="B453"/>
      <c r="C453"/>
    </row>
    <row r="454" spans="1:3" x14ac:dyDescent="0.25">
      <c r="A454"/>
      <c r="B454"/>
      <c r="C454"/>
    </row>
    <row r="455" spans="1:3" x14ac:dyDescent="0.25">
      <c r="A455"/>
      <c r="B455"/>
      <c r="C455"/>
    </row>
    <row r="456" spans="1:3" x14ac:dyDescent="0.25">
      <c r="A456"/>
      <c r="B456"/>
      <c r="C456"/>
    </row>
    <row r="457" spans="1:3" x14ac:dyDescent="0.25">
      <c r="A457"/>
      <c r="B457"/>
      <c r="C457"/>
    </row>
    <row r="458" spans="1:3" x14ac:dyDescent="0.25">
      <c r="A458"/>
      <c r="B458"/>
      <c r="C458"/>
    </row>
    <row r="459" spans="1:3" x14ac:dyDescent="0.25">
      <c r="A459"/>
      <c r="B459"/>
      <c r="C459"/>
    </row>
    <row r="460" spans="1:3" x14ac:dyDescent="0.25">
      <c r="A460"/>
      <c r="B460"/>
      <c r="C460"/>
    </row>
    <row r="461" spans="1:3" x14ac:dyDescent="0.25">
      <c r="A461"/>
      <c r="B461"/>
      <c r="C461"/>
    </row>
    <row r="462" spans="1:3" x14ac:dyDescent="0.25">
      <c r="A462"/>
      <c r="B462"/>
      <c r="C462"/>
    </row>
    <row r="463" spans="1:3" x14ac:dyDescent="0.25">
      <c r="A463"/>
      <c r="B463"/>
      <c r="C463"/>
    </row>
    <row r="464" spans="1:3" x14ac:dyDescent="0.25">
      <c r="A464"/>
      <c r="B464"/>
      <c r="C464"/>
    </row>
    <row r="465" spans="1:3" x14ac:dyDescent="0.25">
      <c r="A465"/>
      <c r="B465"/>
      <c r="C465"/>
    </row>
    <row r="466" spans="1:3" x14ac:dyDescent="0.25">
      <c r="A466"/>
      <c r="B466"/>
      <c r="C466"/>
    </row>
    <row r="467" spans="1:3" x14ac:dyDescent="0.25">
      <c r="A467"/>
      <c r="B467"/>
      <c r="C467"/>
    </row>
    <row r="468" spans="1:3" x14ac:dyDescent="0.25">
      <c r="A468"/>
      <c r="B468"/>
      <c r="C468"/>
    </row>
    <row r="469" spans="1:3" x14ac:dyDescent="0.25">
      <c r="A469"/>
      <c r="B469"/>
      <c r="C469"/>
    </row>
    <row r="470" spans="1:3" x14ac:dyDescent="0.25">
      <c r="A470"/>
      <c r="B470"/>
      <c r="C470"/>
    </row>
    <row r="471" spans="1:3" x14ac:dyDescent="0.25">
      <c r="A471"/>
      <c r="B471"/>
      <c r="C471"/>
    </row>
    <row r="472" spans="1:3" x14ac:dyDescent="0.25">
      <c r="A472"/>
      <c r="B472"/>
      <c r="C472"/>
    </row>
    <row r="473" spans="1:3" x14ac:dyDescent="0.25">
      <c r="A473"/>
      <c r="B473"/>
      <c r="C473"/>
    </row>
    <row r="474" spans="1:3" x14ac:dyDescent="0.25">
      <c r="A474"/>
      <c r="B474"/>
      <c r="C474"/>
    </row>
    <row r="475" spans="1:3" x14ac:dyDescent="0.25">
      <c r="A475"/>
      <c r="B475"/>
      <c r="C475"/>
    </row>
    <row r="476" spans="1:3" x14ac:dyDescent="0.25">
      <c r="A476"/>
      <c r="B476"/>
      <c r="C476"/>
    </row>
    <row r="477" spans="1:3" x14ac:dyDescent="0.25">
      <c r="A477"/>
      <c r="B477"/>
      <c r="C477"/>
    </row>
    <row r="478" spans="1:3" x14ac:dyDescent="0.25">
      <c r="A478"/>
      <c r="B478"/>
      <c r="C478"/>
    </row>
    <row r="479" spans="1:3" x14ac:dyDescent="0.25">
      <c r="A479"/>
      <c r="B479"/>
      <c r="C479"/>
    </row>
    <row r="480" spans="1:3" x14ac:dyDescent="0.25">
      <c r="A480"/>
      <c r="B480"/>
      <c r="C480"/>
    </row>
    <row r="481" spans="1:3" x14ac:dyDescent="0.25">
      <c r="A481"/>
      <c r="B481"/>
      <c r="C481"/>
    </row>
    <row r="482" spans="1:3" x14ac:dyDescent="0.25">
      <c r="A482"/>
      <c r="B482"/>
      <c r="C482"/>
    </row>
    <row r="483" spans="1:3" x14ac:dyDescent="0.25">
      <c r="A483"/>
      <c r="B483"/>
      <c r="C483"/>
    </row>
    <row r="484" spans="1:3" x14ac:dyDescent="0.25">
      <c r="A484"/>
      <c r="B484"/>
      <c r="C484"/>
    </row>
    <row r="485" spans="1:3" x14ac:dyDescent="0.25">
      <c r="A485"/>
      <c r="B485"/>
      <c r="C485"/>
    </row>
    <row r="486" spans="1:3" x14ac:dyDescent="0.25">
      <c r="A486"/>
      <c r="B486"/>
      <c r="C486"/>
    </row>
    <row r="487" spans="1:3" x14ac:dyDescent="0.25">
      <c r="A487"/>
      <c r="B487"/>
      <c r="C487"/>
    </row>
    <row r="488" spans="1:3" x14ac:dyDescent="0.25">
      <c r="A488"/>
      <c r="B488"/>
      <c r="C488"/>
    </row>
    <row r="489" spans="1:3" x14ac:dyDescent="0.25">
      <c r="A489"/>
      <c r="B489"/>
      <c r="C489"/>
    </row>
    <row r="490" spans="1:3" x14ac:dyDescent="0.25">
      <c r="A490"/>
      <c r="B490"/>
      <c r="C490"/>
    </row>
    <row r="491" spans="1:3" x14ac:dyDescent="0.25">
      <c r="A491"/>
      <c r="B491"/>
      <c r="C491"/>
    </row>
    <row r="492" spans="1:3" x14ac:dyDescent="0.25">
      <c r="A492"/>
      <c r="B492"/>
      <c r="C492"/>
    </row>
    <row r="493" spans="1:3" x14ac:dyDescent="0.25">
      <c r="A493"/>
      <c r="B493"/>
      <c r="C493"/>
    </row>
    <row r="494" spans="1:3" x14ac:dyDescent="0.25">
      <c r="A494"/>
      <c r="B494"/>
      <c r="C494"/>
    </row>
    <row r="495" spans="1:3" x14ac:dyDescent="0.25">
      <c r="A495"/>
      <c r="B495"/>
      <c r="C495"/>
    </row>
    <row r="496" spans="1:3" x14ac:dyDescent="0.25">
      <c r="A496"/>
      <c r="B496"/>
      <c r="C496"/>
    </row>
    <row r="497" spans="1:3" x14ac:dyDescent="0.25">
      <c r="A497"/>
      <c r="B497"/>
      <c r="C497"/>
    </row>
    <row r="498" spans="1:3" x14ac:dyDescent="0.25">
      <c r="A498"/>
      <c r="B498"/>
      <c r="C498"/>
    </row>
    <row r="499" spans="1:3" x14ac:dyDescent="0.25">
      <c r="A499"/>
      <c r="B499"/>
      <c r="C499"/>
    </row>
    <row r="500" spans="1:3" x14ac:dyDescent="0.25">
      <c r="A500"/>
      <c r="B500"/>
      <c r="C500"/>
    </row>
    <row r="501" spans="1:3" x14ac:dyDescent="0.25">
      <c r="A501"/>
      <c r="B501"/>
      <c r="C501"/>
    </row>
    <row r="502" spans="1:3" x14ac:dyDescent="0.25">
      <c r="A502"/>
      <c r="B502"/>
      <c r="C502"/>
    </row>
    <row r="503" spans="1:3" x14ac:dyDescent="0.25">
      <c r="A503"/>
      <c r="B503"/>
      <c r="C503"/>
    </row>
    <row r="504" spans="1:3" x14ac:dyDescent="0.25">
      <c r="A504"/>
      <c r="B504"/>
      <c r="C504"/>
    </row>
    <row r="505" spans="1:3" x14ac:dyDescent="0.25">
      <c r="A505"/>
      <c r="B505"/>
      <c r="C505"/>
    </row>
    <row r="506" spans="1:3" x14ac:dyDescent="0.25">
      <c r="A506"/>
      <c r="B506"/>
      <c r="C506"/>
    </row>
    <row r="507" spans="1:3" x14ac:dyDescent="0.25">
      <c r="A507"/>
      <c r="B507"/>
      <c r="C507"/>
    </row>
    <row r="508" spans="1:3" x14ac:dyDescent="0.25">
      <c r="A508"/>
      <c r="B508"/>
      <c r="C508"/>
    </row>
    <row r="509" spans="1:3" x14ac:dyDescent="0.25">
      <c r="A509"/>
      <c r="B509"/>
      <c r="C509"/>
    </row>
    <row r="510" spans="1:3" x14ac:dyDescent="0.25">
      <c r="A510"/>
      <c r="B510"/>
      <c r="C510"/>
    </row>
    <row r="511" spans="1:3" x14ac:dyDescent="0.25">
      <c r="A511"/>
      <c r="B511"/>
      <c r="C511"/>
    </row>
    <row r="512" spans="1:3" x14ac:dyDescent="0.25">
      <c r="A512"/>
      <c r="B512"/>
      <c r="C512"/>
    </row>
    <row r="513" spans="1:3" x14ac:dyDescent="0.25">
      <c r="A513"/>
      <c r="B513"/>
      <c r="C513"/>
    </row>
    <row r="514" spans="1:3" x14ac:dyDescent="0.25">
      <c r="A514"/>
      <c r="B514"/>
      <c r="C514"/>
    </row>
    <row r="515" spans="1:3" x14ac:dyDescent="0.25">
      <c r="A515"/>
      <c r="B515"/>
      <c r="C515"/>
    </row>
    <row r="516" spans="1:3" x14ac:dyDescent="0.25">
      <c r="A516"/>
      <c r="B516"/>
      <c r="C516"/>
    </row>
    <row r="517" spans="1:3" x14ac:dyDescent="0.25">
      <c r="A517"/>
      <c r="B517"/>
      <c r="C517"/>
    </row>
    <row r="518" spans="1:3" x14ac:dyDescent="0.25">
      <c r="A518"/>
      <c r="B518"/>
      <c r="C518"/>
    </row>
    <row r="519" spans="1:3" x14ac:dyDescent="0.25">
      <c r="A519"/>
      <c r="B519"/>
      <c r="C519"/>
    </row>
    <row r="520" spans="1:3" x14ac:dyDescent="0.25">
      <c r="A520"/>
      <c r="B520"/>
      <c r="C520"/>
    </row>
    <row r="521" spans="1:3" x14ac:dyDescent="0.25">
      <c r="A521"/>
      <c r="B521"/>
      <c r="C521"/>
    </row>
    <row r="522" spans="1:3" x14ac:dyDescent="0.25">
      <c r="A522"/>
      <c r="B522"/>
      <c r="C522"/>
    </row>
    <row r="523" spans="1:3" x14ac:dyDescent="0.25">
      <c r="A523"/>
      <c r="B523"/>
      <c r="C523"/>
    </row>
    <row r="524" spans="1:3" x14ac:dyDescent="0.25">
      <c r="A524"/>
      <c r="B524"/>
      <c r="C524"/>
    </row>
    <row r="525" spans="1:3" x14ac:dyDescent="0.25">
      <c r="A525"/>
      <c r="B525"/>
      <c r="C525"/>
    </row>
    <row r="526" spans="1:3" x14ac:dyDescent="0.25">
      <c r="A526"/>
      <c r="B526"/>
      <c r="C526"/>
    </row>
    <row r="527" spans="1:3" x14ac:dyDescent="0.25">
      <c r="A527"/>
      <c r="B527"/>
      <c r="C527"/>
    </row>
    <row r="528" spans="1:3" x14ac:dyDescent="0.25">
      <c r="A528"/>
      <c r="B528"/>
      <c r="C528"/>
    </row>
    <row r="529" spans="1:3" x14ac:dyDescent="0.25">
      <c r="A529"/>
      <c r="B529"/>
      <c r="C529"/>
    </row>
    <row r="530" spans="1:3" x14ac:dyDescent="0.25">
      <c r="A530"/>
      <c r="B530"/>
      <c r="C530"/>
    </row>
    <row r="531" spans="1:3" x14ac:dyDescent="0.25">
      <c r="A531"/>
      <c r="B531"/>
      <c r="C531"/>
    </row>
    <row r="532" spans="1:3" x14ac:dyDescent="0.25">
      <c r="A532"/>
      <c r="B532"/>
      <c r="C532"/>
    </row>
    <row r="533" spans="1:3" x14ac:dyDescent="0.25">
      <c r="A533"/>
      <c r="B533"/>
      <c r="C533"/>
    </row>
    <row r="534" spans="1:3" x14ac:dyDescent="0.25">
      <c r="A534"/>
      <c r="B534"/>
      <c r="C534"/>
    </row>
    <row r="535" spans="1:3" x14ac:dyDescent="0.25">
      <c r="A535"/>
      <c r="B535"/>
      <c r="C535"/>
    </row>
    <row r="536" spans="1:3" x14ac:dyDescent="0.25">
      <c r="A536"/>
      <c r="B536"/>
      <c r="C536"/>
    </row>
    <row r="537" spans="1:3" x14ac:dyDescent="0.25">
      <c r="A537"/>
      <c r="B537"/>
      <c r="C537"/>
    </row>
    <row r="538" spans="1:3" x14ac:dyDescent="0.25">
      <c r="A538"/>
      <c r="B538"/>
      <c r="C538"/>
    </row>
    <row r="539" spans="1:3" x14ac:dyDescent="0.25">
      <c r="A539"/>
      <c r="B539"/>
      <c r="C539"/>
    </row>
    <row r="540" spans="1:3" x14ac:dyDescent="0.25">
      <c r="A540"/>
      <c r="B540"/>
      <c r="C540"/>
    </row>
    <row r="541" spans="1:3" x14ac:dyDescent="0.25">
      <c r="A541"/>
      <c r="B541"/>
      <c r="C541"/>
    </row>
    <row r="542" spans="1:3" x14ac:dyDescent="0.25">
      <c r="A542"/>
      <c r="B542"/>
      <c r="C542"/>
    </row>
    <row r="543" spans="1:3" x14ac:dyDescent="0.25">
      <c r="A543"/>
      <c r="B543"/>
      <c r="C543"/>
    </row>
    <row r="544" spans="1:3" x14ac:dyDescent="0.25">
      <c r="A544"/>
      <c r="B544"/>
      <c r="C544"/>
    </row>
    <row r="545" spans="1:3" x14ac:dyDescent="0.25">
      <c r="A545"/>
      <c r="B545"/>
      <c r="C545"/>
    </row>
    <row r="546" spans="1:3" x14ac:dyDescent="0.25">
      <c r="A546"/>
      <c r="B546"/>
      <c r="C546"/>
    </row>
    <row r="547" spans="1:3" x14ac:dyDescent="0.25">
      <c r="A547"/>
      <c r="B547"/>
      <c r="C547"/>
    </row>
    <row r="548" spans="1:3" x14ac:dyDescent="0.25">
      <c r="A548"/>
      <c r="B548"/>
      <c r="C548"/>
    </row>
    <row r="549" spans="1:3" x14ac:dyDescent="0.25">
      <c r="A549"/>
      <c r="B549"/>
      <c r="C549"/>
    </row>
    <row r="550" spans="1:3" x14ac:dyDescent="0.25">
      <c r="A550"/>
      <c r="B550"/>
      <c r="C550"/>
    </row>
    <row r="551" spans="1:3" x14ac:dyDescent="0.25">
      <c r="A551"/>
      <c r="B551"/>
      <c r="C551"/>
    </row>
    <row r="552" spans="1:3" x14ac:dyDescent="0.25">
      <c r="A552"/>
      <c r="B552"/>
      <c r="C552"/>
    </row>
    <row r="553" spans="1:3" x14ac:dyDescent="0.25">
      <c r="A553"/>
      <c r="B553"/>
      <c r="C553"/>
    </row>
    <row r="554" spans="1:3" x14ac:dyDescent="0.25">
      <c r="A554"/>
      <c r="B554"/>
      <c r="C554"/>
    </row>
    <row r="555" spans="1:3" x14ac:dyDescent="0.25">
      <c r="A555"/>
      <c r="B555"/>
      <c r="C555"/>
    </row>
    <row r="556" spans="1:3" x14ac:dyDescent="0.25">
      <c r="A556"/>
      <c r="B556"/>
      <c r="C556"/>
    </row>
    <row r="557" spans="1:3" x14ac:dyDescent="0.25">
      <c r="A557"/>
      <c r="B557"/>
      <c r="C557"/>
    </row>
    <row r="558" spans="1:3" x14ac:dyDescent="0.25">
      <c r="A558"/>
      <c r="B558"/>
      <c r="C558"/>
    </row>
    <row r="559" spans="1:3" x14ac:dyDescent="0.25">
      <c r="A559"/>
      <c r="B559"/>
      <c r="C559"/>
    </row>
    <row r="560" spans="1:3" x14ac:dyDescent="0.25">
      <c r="A560"/>
      <c r="B560"/>
      <c r="C560"/>
    </row>
    <row r="561" spans="1:3" x14ac:dyDescent="0.25">
      <c r="A561"/>
      <c r="B561"/>
      <c r="C561"/>
    </row>
    <row r="562" spans="1:3" x14ac:dyDescent="0.25">
      <c r="A562"/>
      <c r="B562"/>
      <c r="C562"/>
    </row>
    <row r="563" spans="1:3" x14ac:dyDescent="0.25">
      <c r="A563"/>
      <c r="B563"/>
      <c r="C563"/>
    </row>
    <row r="564" spans="1:3" x14ac:dyDescent="0.25">
      <c r="A564"/>
      <c r="B564"/>
      <c r="C564"/>
    </row>
    <row r="565" spans="1:3" x14ac:dyDescent="0.25">
      <c r="A565"/>
      <c r="B565"/>
      <c r="C565"/>
    </row>
    <row r="566" spans="1:3" x14ac:dyDescent="0.25">
      <c r="A566"/>
      <c r="B566"/>
      <c r="C566"/>
    </row>
    <row r="567" spans="1:3" x14ac:dyDescent="0.25">
      <c r="A567"/>
      <c r="B567"/>
      <c r="C567"/>
    </row>
    <row r="568" spans="1:3" x14ac:dyDescent="0.25">
      <c r="A568"/>
      <c r="B568"/>
      <c r="C568"/>
    </row>
    <row r="569" spans="1:3" x14ac:dyDescent="0.25">
      <c r="A569"/>
      <c r="B569"/>
      <c r="C569"/>
    </row>
    <row r="570" spans="1:3" x14ac:dyDescent="0.25">
      <c r="A570"/>
      <c r="B570"/>
      <c r="C570"/>
    </row>
    <row r="571" spans="1:3" x14ac:dyDescent="0.25">
      <c r="A571"/>
      <c r="B571"/>
      <c r="C571"/>
    </row>
    <row r="572" spans="1:3" x14ac:dyDescent="0.25">
      <c r="A572"/>
      <c r="B572"/>
      <c r="C572"/>
    </row>
    <row r="573" spans="1:3" x14ac:dyDescent="0.25">
      <c r="A573"/>
      <c r="B573"/>
      <c r="C573"/>
    </row>
    <row r="574" spans="1:3" x14ac:dyDescent="0.25">
      <c r="A574"/>
      <c r="B574"/>
      <c r="C574"/>
    </row>
    <row r="575" spans="1:3" x14ac:dyDescent="0.25">
      <c r="A575"/>
      <c r="B575"/>
      <c r="C575"/>
    </row>
    <row r="576" spans="1:3" x14ac:dyDescent="0.25">
      <c r="A576"/>
      <c r="B576"/>
      <c r="C576"/>
    </row>
    <row r="577" spans="1:3" x14ac:dyDescent="0.25">
      <c r="A577"/>
      <c r="B577"/>
      <c r="C577"/>
    </row>
    <row r="578" spans="1:3" x14ac:dyDescent="0.25">
      <c r="A578"/>
      <c r="B578"/>
      <c r="C578"/>
    </row>
    <row r="579" spans="1:3" x14ac:dyDescent="0.25">
      <c r="A579"/>
      <c r="B579"/>
      <c r="C579"/>
    </row>
    <row r="580" spans="1:3" x14ac:dyDescent="0.25">
      <c r="A580"/>
      <c r="B580"/>
      <c r="C580"/>
    </row>
    <row r="581" spans="1:3" x14ac:dyDescent="0.25">
      <c r="A581"/>
      <c r="B581"/>
      <c r="C581"/>
    </row>
    <row r="582" spans="1:3" x14ac:dyDescent="0.25">
      <c r="A582"/>
      <c r="B582"/>
      <c r="C582"/>
    </row>
    <row r="583" spans="1:3" x14ac:dyDescent="0.25">
      <c r="A583"/>
      <c r="B583"/>
      <c r="C583"/>
    </row>
    <row r="584" spans="1:3" x14ac:dyDescent="0.25">
      <c r="A584"/>
      <c r="B584"/>
      <c r="C584"/>
    </row>
    <row r="585" spans="1:3" x14ac:dyDescent="0.25">
      <c r="A585"/>
      <c r="B585"/>
      <c r="C585"/>
    </row>
    <row r="586" spans="1:3" x14ac:dyDescent="0.25">
      <c r="A586"/>
      <c r="B586"/>
      <c r="C586"/>
    </row>
    <row r="587" spans="1:3" x14ac:dyDescent="0.25">
      <c r="A587"/>
      <c r="B587"/>
      <c r="C587"/>
    </row>
    <row r="588" spans="1:3" x14ac:dyDescent="0.25">
      <c r="A588"/>
      <c r="B588"/>
      <c r="C588"/>
    </row>
    <row r="589" spans="1:3" x14ac:dyDescent="0.25">
      <c r="A589"/>
      <c r="B589"/>
      <c r="C589"/>
    </row>
    <row r="590" spans="1:3" x14ac:dyDescent="0.25">
      <c r="A590"/>
      <c r="B590"/>
      <c r="C590"/>
    </row>
    <row r="591" spans="1:3" x14ac:dyDescent="0.25">
      <c r="A591"/>
      <c r="B591"/>
      <c r="C591"/>
    </row>
    <row r="592" spans="1:3" x14ac:dyDescent="0.25">
      <c r="A592"/>
      <c r="B592"/>
      <c r="C592"/>
    </row>
    <row r="593" spans="1:3" x14ac:dyDescent="0.25">
      <c r="A593"/>
      <c r="B593"/>
      <c r="C593"/>
    </row>
    <row r="594" spans="1:3" x14ac:dyDescent="0.25">
      <c r="A594"/>
      <c r="B594"/>
      <c r="C594"/>
    </row>
    <row r="595" spans="1:3" x14ac:dyDescent="0.25">
      <c r="A595"/>
      <c r="B595"/>
      <c r="C595"/>
    </row>
    <row r="596" spans="1:3" x14ac:dyDescent="0.25">
      <c r="A596"/>
      <c r="B596"/>
      <c r="C596"/>
    </row>
    <row r="597" spans="1:3" x14ac:dyDescent="0.25">
      <c r="A597"/>
      <c r="B597"/>
      <c r="C597"/>
    </row>
    <row r="598" spans="1:3" x14ac:dyDescent="0.25">
      <c r="A598"/>
      <c r="B598"/>
      <c r="C598"/>
    </row>
    <row r="599" spans="1:3" x14ac:dyDescent="0.25">
      <c r="A599"/>
      <c r="B599"/>
      <c r="C599"/>
    </row>
    <row r="600" spans="1:3" x14ac:dyDescent="0.25">
      <c r="A600"/>
      <c r="B600"/>
      <c r="C600"/>
    </row>
    <row r="601" spans="1:3" x14ac:dyDescent="0.25">
      <c r="A601"/>
      <c r="B601"/>
      <c r="C601"/>
    </row>
    <row r="602" spans="1:3" x14ac:dyDescent="0.25">
      <c r="A602"/>
      <c r="B602"/>
      <c r="C602"/>
    </row>
    <row r="603" spans="1:3" x14ac:dyDescent="0.25">
      <c r="A603"/>
      <c r="B603"/>
      <c r="C603"/>
    </row>
    <row r="604" spans="1:3" x14ac:dyDescent="0.25">
      <c r="A604"/>
      <c r="B604"/>
      <c r="C604"/>
    </row>
    <row r="605" spans="1:3" x14ac:dyDescent="0.25">
      <c r="A605"/>
      <c r="B605"/>
      <c r="C605"/>
    </row>
    <row r="606" spans="1:3" x14ac:dyDescent="0.25">
      <c r="A606"/>
      <c r="B606"/>
      <c r="C606"/>
    </row>
    <row r="607" spans="1:3" x14ac:dyDescent="0.25">
      <c r="A607"/>
      <c r="B607"/>
      <c r="C607"/>
    </row>
    <row r="608" spans="1:3" x14ac:dyDescent="0.25">
      <c r="A608"/>
      <c r="B608"/>
      <c r="C608"/>
    </row>
    <row r="609" spans="1:3" x14ac:dyDescent="0.25">
      <c r="A609"/>
      <c r="B609"/>
      <c r="C609"/>
    </row>
    <row r="610" spans="1:3" x14ac:dyDescent="0.25">
      <c r="A610"/>
      <c r="B610"/>
      <c r="C610"/>
    </row>
    <row r="611" spans="1:3" x14ac:dyDescent="0.25">
      <c r="A611"/>
      <c r="B611"/>
      <c r="C611"/>
    </row>
    <row r="612" spans="1:3" x14ac:dyDescent="0.25">
      <c r="A612"/>
      <c r="B612"/>
      <c r="C612"/>
    </row>
    <row r="613" spans="1:3" x14ac:dyDescent="0.25">
      <c r="A613"/>
      <c r="B613"/>
      <c r="C613"/>
    </row>
    <row r="614" spans="1:3" x14ac:dyDescent="0.25">
      <c r="A614"/>
      <c r="B614"/>
      <c r="C614"/>
    </row>
    <row r="615" spans="1:3" x14ac:dyDescent="0.25">
      <c r="A615"/>
      <c r="B615"/>
      <c r="C615"/>
    </row>
    <row r="616" spans="1:3" x14ac:dyDescent="0.25">
      <c r="A616"/>
      <c r="B616"/>
      <c r="C616"/>
    </row>
    <row r="617" spans="1:3" x14ac:dyDescent="0.25">
      <c r="A617"/>
      <c r="B617"/>
      <c r="C617"/>
    </row>
    <row r="618" spans="1:3" x14ac:dyDescent="0.25">
      <c r="A618"/>
      <c r="B618"/>
      <c r="C618"/>
    </row>
    <row r="619" spans="1:3" x14ac:dyDescent="0.25">
      <c r="A619"/>
      <c r="B619"/>
      <c r="C619"/>
    </row>
    <row r="620" spans="1:3" x14ac:dyDescent="0.25">
      <c r="A620"/>
      <c r="B620"/>
      <c r="C620"/>
    </row>
    <row r="621" spans="1:3" x14ac:dyDescent="0.25">
      <c r="A621"/>
      <c r="B621"/>
      <c r="C621"/>
    </row>
    <row r="622" spans="1:3" x14ac:dyDescent="0.25">
      <c r="A622"/>
      <c r="B622"/>
      <c r="C622"/>
    </row>
    <row r="623" spans="1:3" x14ac:dyDescent="0.25">
      <c r="A623"/>
      <c r="B623"/>
      <c r="C623"/>
    </row>
    <row r="624" spans="1:3" x14ac:dyDescent="0.25">
      <c r="A624"/>
      <c r="B624"/>
      <c r="C624"/>
    </row>
    <row r="625" spans="1:3" x14ac:dyDescent="0.25">
      <c r="A625"/>
      <c r="B625"/>
      <c r="C625"/>
    </row>
    <row r="626" spans="1:3" x14ac:dyDescent="0.25">
      <c r="A626"/>
      <c r="B626"/>
      <c r="C626"/>
    </row>
    <row r="627" spans="1:3" x14ac:dyDescent="0.25">
      <c r="A627"/>
      <c r="B627"/>
      <c r="C627"/>
    </row>
    <row r="628" spans="1:3" x14ac:dyDescent="0.25">
      <c r="A628"/>
      <c r="B628"/>
      <c r="C628"/>
    </row>
    <row r="629" spans="1:3" x14ac:dyDescent="0.25">
      <c r="A629"/>
      <c r="B629"/>
      <c r="C629"/>
    </row>
    <row r="630" spans="1:3" x14ac:dyDescent="0.25">
      <c r="A630"/>
      <c r="B630"/>
      <c r="C630"/>
    </row>
    <row r="631" spans="1:3" x14ac:dyDescent="0.25">
      <c r="A631"/>
      <c r="B631"/>
      <c r="C631"/>
    </row>
    <row r="632" spans="1:3" x14ac:dyDescent="0.25">
      <c r="A632"/>
      <c r="B632"/>
      <c r="C632"/>
    </row>
    <row r="633" spans="1:3" x14ac:dyDescent="0.25">
      <c r="A633"/>
      <c r="B633"/>
      <c r="C633"/>
    </row>
    <row r="634" spans="1:3" x14ac:dyDescent="0.25">
      <c r="A634"/>
      <c r="B634"/>
      <c r="C634"/>
    </row>
    <row r="635" spans="1:3" x14ac:dyDescent="0.25">
      <c r="A635"/>
      <c r="B635"/>
      <c r="C635"/>
    </row>
    <row r="636" spans="1:3" x14ac:dyDescent="0.25">
      <c r="A636"/>
      <c r="B636"/>
      <c r="C636"/>
    </row>
    <row r="637" spans="1:3" x14ac:dyDescent="0.25">
      <c r="A637"/>
      <c r="B637"/>
      <c r="C637"/>
    </row>
    <row r="638" spans="1:3" x14ac:dyDescent="0.25">
      <c r="A638"/>
      <c r="B638"/>
      <c r="C638"/>
    </row>
    <row r="639" spans="1:3" x14ac:dyDescent="0.25">
      <c r="A639"/>
      <c r="B639"/>
      <c r="C639"/>
    </row>
    <row r="640" spans="1:3" x14ac:dyDescent="0.25">
      <c r="A640"/>
      <c r="B640"/>
      <c r="C640"/>
    </row>
    <row r="641" spans="1:3" x14ac:dyDescent="0.25">
      <c r="A641"/>
      <c r="B641"/>
      <c r="C641"/>
    </row>
    <row r="642" spans="1:3" x14ac:dyDescent="0.25">
      <c r="A642"/>
      <c r="B642"/>
      <c r="C642"/>
    </row>
    <row r="643" spans="1:3" x14ac:dyDescent="0.25">
      <c r="A643"/>
      <c r="B643"/>
      <c r="C643"/>
    </row>
    <row r="644" spans="1:3" x14ac:dyDescent="0.25">
      <c r="A644"/>
      <c r="B644"/>
      <c r="C644"/>
    </row>
    <row r="645" spans="1:3" x14ac:dyDescent="0.25">
      <c r="A645"/>
      <c r="B645"/>
      <c r="C645"/>
    </row>
    <row r="646" spans="1:3" x14ac:dyDescent="0.25">
      <c r="A646"/>
      <c r="B646"/>
      <c r="C646"/>
    </row>
    <row r="647" spans="1:3" x14ac:dyDescent="0.25">
      <c r="A647"/>
      <c r="B647"/>
      <c r="C647"/>
    </row>
    <row r="648" spans="1:3" x14ac:dyDescent="0.25">
      <c r="A648"/>
      <c r="B648"/>
      <c r="C648"/>
    </row>
    <row r="649" spans="1:3" x14ac:dyDescent="0.25">
      <c r="A649"/>
      <c r="B649"/>
      <c r="C649"/>
    </row>
    <row r="650" spans="1:3" x14ac:dyDescent="0.25">
      <c r="A650"/>
      <c r="B650"/>
      <c r="C650"/>
    </row>
    <row r="651" spans="1:3" x14ac:dyDescent="0.25">
      <c r="A651"/>
      <c r="B651"/>
      <c r="C651"/>
    </row>
    <row r="652" spans="1:3" x14ac:dyDescent="0.25">
      <c r="A652"/>
      <c r="B652"/>
      <c r="C652"/>
    </row>
    <row r="653" spans="1:3" x14ac:dyDescent="0.25">
      <c r="A653"/>
      <c r="B653"/>
      <c r="C653"/>
    </row>
    <row r="654" spans="1:3" x14ac:dyDescent="0.25">
      <c r="A654"/>
      <c r="B654"/>
      <c r="C654"/>
    </row>
    <row r="655" spans="1:3" x14ac:dyDescent="0.25">
      <c r="A655"/>
      <c r="B655"/>
      <c r="C655"/>
    </row>
    <row r="656" spans="1:3" x14ac:dyDescent="0.25">
      <c r="A656"/>
      <c r="B656"/>
      <c r="C656"/>
    </row>
    <row r="657" spans="1:3" x14ac:dyDescent="0.25">
      <c r="A657"/>
      <c r="B657"/>
      <c r="C657"/>
    </row>
    <row r="658" spans="1:3" x14ac:dyDescent="0.25">
      <c r="A658"/>
      <c r="B658"/>
      <c r="C658"/>
    </row>
    <row r="659" spans="1:3" x14ac:dyDescent="0.25">
      <c r="A659"/>
      <c r="B659"/>
      <c r="C659"/>
    </row>
    <row r="660" spans="1:3" x14ac:dyDescent="0.25">
      <c r="A660"/>
      <c r="B660"/>
      <c r="C660"/>
    </row>
    <row r="661" spans="1:3" x14ac:dyDescent="0.25">
      <c r="A661"/>
      <c r="B661"/>
      <c r="C661"/>
    </row>
    <row r="662" spans="1:3" x14ac:dyDescent="0.25">
      <c r="A662"/>
      <c r="B662"/>
      <c r="C662"/>
    </row>
    <row r="663" spans="1:3" x14ac:dyDescent="0.25">
      <c r="A663"/>
      <c r="B663"/>
      <c r="C663"/>
    </row>
    <row r="664" spans="1:3" x14ac:dyDescent="0.25">
      <c r="A664"/>
      <c r="B664"/>
      <c r="C664"/>
    </row>
    <row r="665" spans="1:3" x14ac:dyDescent="0.25">
      <c r="A665"/>
      <c r="B665"/>
      <c r="C665"/>
    </row>
    <row r="666" spans="1:3" x14ac:dyDescent="0.25">
      <c r="A666"/>
      <c r="B666"/>
      <c r="C666"/>
    </row>
    <row r="667" spans="1:3" x14ac:dyDescent="0.25">
      <c r="A667"/>
      <c r="B667"/>
      <c r="C667"/>
    </row>
    <row r="668" spans="1:3" x14ac:dyDescent="0.25">
      <c r="A668"/>
      <c r="B668"/>
      <c r="C668"/>
    </row>
    <row r="669" spans="1:3" x14ac:dyDescent="0.25">
      <c r="A669"/>
      <c r="B669"/>
      <c r="C669"/>
    </row>
    <row r="670" spans="1:3" x14ac:dyDescent="0.25">
      <c r="A670"/>
      <c r="B670"/>
      <c r="C670"/>
    </row>
    <row r="671" spans="1:3" x14ac:dyDescent="0.25">
      <c r="A671"/>
      <c r="B671"/>
      <c r="C671"/>
    </row>
    <row r="672" spans="1:3" x14ac:dyDescent="0.25">
      <c r="A672"/>
      <c r="B672"/>
      <c r="C672"/>
    </row>
    <row r="673" spans="1:3" x14ac:dyDescent="0.25">
      <c r="A673"/>
      <c r="B673"/>
      <c r="C673"/>
    </row>
    <row r="674" spans="1:3" x14ac:dyDescent="0.25">
      <c r="A674"/>
      <c r="B674"/>
      <c r="C674"/>
    </row>
    <row r="675" spans="1:3" x14ac:dyDescent="0.25">
      <c r="A675"/>
      <c r="B675"/>
      <c r="C675"/>
    </row>
    <row r="676" spans="1:3" x14ac:dyDescent="0.25">
      <c r="A676"/>
      <c r="B676"/>
      <c r="C676"/>
    </row>
    <row r="677" spans="1:3" x14ac:dyDescent="0.25">
      <c r="A677"/>
      <c r="B677"/>
      <c r="C677"/>
    </row>
    <row r="678" spans="1:3" x14ac:dyDescent="0.25">
      <c r="A678"/>
      <c r="B678"/>
      <c r="C678"/>
    </row>
    <row r="679" spans="1:3" x14ac:dyDescent="0.25">
      <c r="A679"/>
      <c r="B679"/>
      <c r="C679"/>
    </row>
    <row r="680" spans="1:3" x14ac:dyDescent="0.25">
      <c r="A680"/>
      <c r="B680"/>
      <c r="C680"/>
    </row>
    <row r="681" spans="1:3" x14ac:dyDescent="0.25">
      <c r="A681"/>
      <c r="B681"/>
      <c r="C681"/>
    </row>
    <row r="682" spans="1:3" x14ac:dyDescent="0.25">
      <c r="A682"/>
      <c r="B682"/>
      <c r="C682"/>
    </row>
    <row r="683" spans="1:3" x14ac:dyDescent="0.25">
      <c r="A683"/>
      <c r="B683"/>
      <c r="C683"/>
    </row>
    <row r="684" spans="1:3" x14ac:dyDescent="0.25">
      <c r="A684"/>
      <c r="B684"/>
      <c r="C684"/>
    </row>
    <row r="685" spans="1:3" x14ac:dyDescent="0.25">
      <c r="A685"/>
      <c r="B685"/>
      <c r="C685"/>
    </row>
    <row r="686" spans="1:3" x14ac:dyDescent="0.25">
      <c r="A686"/>
      <c r="B686"/>
      <c r="C686"/>
    </row>
    <row r="687" spans="1:3" x14ac:dyDescent="0.25">
      <c r="A687"/>
      <c r="B687"/>
      <c r="C687"/>
    </row>
    <row r="688" spans="1:3" x14ac:dyDescent="0.25">
      <c r="A688"/>
      <c r="B688"/>
      <c r="C688"/>
    </row>
    <row r="689" spans="1:3" x14ac:dyDescent="0.25">
      <c r="A689"/>
      <c r="B689"/>
      <c r="C689"/>
    </row>
    <row r="690" spans="1:3" x14ac:dyDescent="0.25">
      <c r="A690"/>
      <c r="B690"/>
      <c r="C690"/>
    </row>
    <row r="691" spans="1:3" x14ac:dyDescent="0.25">
      <c r="A691"/>
      <c r="B691"/>
      <c r="C691"/>
    </row>
    <row r="692" spans="1:3" x14ac:dyDescent="0.25">
      <c r="A692"/>
      <c r="B692"/>
      <c r="C692"/>
    </row>
    <row r="693" spans="1:3" x14ac:dyDescent="0.25">
      <c r="A693"/>
      <c r="B693"/>
      <c r="C693"/>
    </row>
    <row r="694" spans="1:3" x14ac:dyDescent="0.25">
      <c r="A694"/>
      <c r="B694"/>
      <c r="C694"/>
    </row>
    <row r="695" spans="1:3" x14ac:dyDescent="0.25">
      <c r="A695"/>
      <c r="B695"/>
      <c r="C695"/>
    </row>
    <row r="696" spans="1:3" x14ac:dyDescent="0.25">
      <c r="A696"/>
      <c r="B696"/>
      <c r="C696"/>
    </row>
    <row r="697" spans="1:3" x14ac:dyDescent="0.25">
      <c r="A697"/>
      <c r="B697"/>
      <c r="C697"/>
    </row>
    <row r="698" spans="1:3" x14ac:dyDescent="0.25">
      <c r="A698"/>
      <c r="B698"/>
      <c r="C698"/>
    </row>
    <row r="699" spans="1:3" x14ac:dyDescent="0.25">
      <c r="A699"/>
      <c r="B699"/>
      <c r="C699"/>
    </row>
    <row r="700" spans="1:3" x14ac:dyDescent="0.25">
      <c r="A700"/>
      <c r="B700"/>
      <c r="C700"/>
    </row>
    <row r="701" spans="1:3" x14ac:dyDescent="0.25">
      <c r="A701"/>
      <c r="B701"/>
      <c r="C701"/>
    </row>
    <row r="702" spans="1:3" x14ac:dyDescent="0.25">
      <c r="A702"/>
      <c r="B702"/>
      <c r="C702"/>
    </row>
    <row r="703" spans="1:3" x14ac:dyDescent="0.25">
      <c r="A703"/>
      <c r="B703"/>
      <c r="C703"/>
    </row>
    <row r="704" spans="1:3" x14ac:dyDescent="0.25">
      <c r="A704"/>
      <c r="B704"/>
      <c r="C704"/>
    </row>
    <row r="705" spans="1:3" x14ac:dyDescent="0.25">
      <c r="A705"/>
      <c r="B705"/>
      <c r="C705"/>
    </row>
    <row r="706" spans="1:3" x14ac:dyDescent="0.25">
      <c r="A706"/>
      <c r="B706"/>
      <c r="C706"/>
    </row>
    <row r="707" spans="1:3" x14ac:dyDescent="0.25">
      <c r="A707"/>
      <c r="B707"/>
      <c r="C707"/>
    </row>
    <row r="708" spans="1:3" x14ac:dyDescent="0.25">
      <c r="A708"/>
      <c r="B708"/>
      <c r="C708"/>
    </row>
    <row r="709" spans="1:3" x14ac:dyDescent="0.25">
      <c r="A709"/>
      <c r="B709"/>
      <c r="C709"/>
    </row>
    <row r="710" spans="1:3" x14ac:dyDescent="0.25">
      <c r="A710"/>
      <c r="B710"/>
      <c r="C710"/>
    </row>
    <row r="711" spans="1:3" x14ac:dyDescent="0.25">
      <c r="A711"/>
      <c r="B711"/>
      <c r="C711"/>
    </row>
    <row r="712" spans="1:3" x14ac:dyDescent="0.25">
      <c r="A712"/>
      <c r="B712"/>
      <c r="C712"/>
    </row>
    <row r="713" spans="1:3" x14ac:dyDescent="0.25">
      <c r="A713"/>
      <c r="B713"/>
      <c r="C713"/>
    </row>
    <row r="714" spans="1:3" x14ac:dyDescent="0.25">
      <c r="A714"/>
      <c r="B714"/>
      <c r="C714"/>
    </row>
    <row r="715" spans="1:3" x14ac:dyDescent="0.25">
      <c r="A715"/>
      <c r="B715"/>
      <c r="C715"/>
    </row>
    <row r="716" spans="1:3" x14ac:dyDescent="0.25">
      <c r="A716"/>
      <c r="B716"/>
      <c r="C716"/>
    </row>
    <row r="717" spans="1:3" x14ac:dyDescent="0.25">
      <c r="A717"/>
      <c r="B717"/>
      <c r="C717"/>
    </row>
    <row r="718" spans="1:3" x14ac:dyDescent="0.25">
      <c r="A718"/>
      <c r="B718"/>
      <c r="C718"/>
    </row>
    <row r="719" spans="1:3" x14ac:dyDescent="0.25">
      <c r="A719"/>
      <c r="B719"/>
      <c r="C719"/>
    </row>
    <row r="720" spans="1:3" x14ac:dyDescent="0.25">
      <c r="A720"/>
      <c r="B720"/>
      <c r="C720"/>
    </row>
    <row r="721" spans="1:3" x14ac:dyDescent="0.25">
      <c r="A721"/>
      <c r="B721"/>
      <c r="C721"/>
    </row>
    <row r="722" spans="1:3" x14ac:dyDescent="0.25">
      <c r="A722"/>
      <c r="B722"/>
      <c r="C722"/>
    </row>
    <row r="723" spans="1:3" x14ac:dyDescent="0.25">
      <c r="A723"/>
      <c r="B723"/>
      <c r="C723"/>
    </row>
    <row r="724" spans="1:3" x14ac:dyDescent="0.25">
      <c r="A724"/>
      <c r="B724"/>
      <c r="C724"/>
    </row>
    <row r="725" spans="1:3" x14ac:dyDescent="0.25">
      <c r="A725"/>
      <c r="B725"/>
      <c r="C725"/>
    </row>
    <row r="726" spans="1:3" x14ac:dyDescent="0.25">
      <c r="A726"/>
      <c r="B726"/>
      <c r="C726"/>
    </row>
    <row r="727" spans="1:3" x14ac:dyDescent="0.25">
      <c r="A727"/>
      <c r="B727"/>
      <c r="C727"/>
    </row>
    <row r="728" spans="1:3" x14ac:dyDescent="0.25">
      <c r="A728"/>
      <c r="B728"/>
      <c r="C728"/>
    </row>
    <row r="729" spans="1:3" x14ac:dyDescent="0.25">
      <c r="A729"/>
      <c r="B729"/>
      <c r="C729"/>
    </row>
    <row r="730" spans="1:3" x14ac:dyDescent="0.25">
      <c r="A730"/>
      <c r="B730"/>
      <c r="C730"/>
    </row>
    <row r="731" spans="1:3" x14ac:dyDescent="0.25">
      <c r="A731"/>
      <c r="B731"/>
      <c r="C731"/>
    </row>
    <row r="732" spans="1:3" x14ac:dyDescent="0.25">
      <c r="A732"/>
      <c r="B732"/>
      <c r="C732"/>
    </row>
    <row r="733" spans="1:3" x14ac:dyDescent="0.25">
      <c r="A733"/>
      <c r="B733"/>
      <c r="C733"/>
    </row>
    <row r="734" spans="1:3" x14ac:dyDescent="0.25">
      <c r="A734"/>
      <c r="B734"/>
      <c r="C734"/>
    </row>
    <row r="735" spans="1:3" x14ac:dyDescent="0.25">
      <c r="A735"/>
      <c r="B735"/>
      <c r="C735"/>
    </row>
    <row r="736" spans="1:3" x14ac:dyDescent="0.25">
      <c r="A736"/>
      <c r="B736"/>
      <c r="C736"/>
    </row>
    <row r="737" spans="1:3" x14ac:dyDescent="0.25">
      <c r="A737"/>
      <c r="B737"/>
      <c r="C737"/>
    </row>
    <row r="738" spans="1:3" x14ac:dyDescent="0.25">
      <c r="A738"/>
      <c r="B738"/>
      <c r="C738"/>
    </row>
    <row r="739" spans="1:3" x14ac:dyDescent="0.25">
      <c r="A739"/>
      <c r="B739"/>
      <c r="C739"/>
    </row>
    <row r="740" spans="1:3" x14ac:dyDescent="0.25">
      <c r="A740"/>
      <c r="B740"/>
      <c r="C740"/>
    </row>
    <row r="741" spans="1:3" x14ac:dyDescent="0.25">
      <c r="A741"/>
      <c r="B741"/>
      <c r="C741"/>
    </row>
    <row r="742" spans="1:3" x14ac:dyDescent="0.25">
      <c r="A742"/>
      <c r="B742"/>
      <c r="C742"/>
    </row>
    <row r="743" spans="1:3" x14ac:dyDescent="0.25">
      <c r="A743"/>
      <c r="B743"/>
      <c r="C743"/>
    </row>
    <row r="744" spans="1:3" x14ac:dyDescent="0.25">
      <c r="A744"/>
      <c r="B744"/>
      <c r="C744"/>
    </row>
    <row r="745" spans="1:3" x14ac:dyDescent="0.25">
      <c r="A745"/>
      <c r="B745"/>
      <c r="C745"/>
    </row>
    <row r="746" spans="1:3" x14ac:dyDescent="0.25">
      <c r="A746"/>
      <c r="B746"/>
      <c r="C746"/>
    </row>
    <row r="747" spans="1:3" x14ac:dyDescent="0.25">
      <c r="A747"/>
      <c r="B747"/>
      <c r="C747"/>
    </row>
    <row r="748" spans="1:3" x14ac:dyDescent="0.25">
      <c r="A748"/>
      <c r="B748"/>
      <c r="C748"/>
    </row>
    <row r="749" spans="1:3" x14ac:dyDescent="0.25">
      <c r="A749"/>
      <c r="B749"/>
      <c r="C749"/>
    </row>
    <row r="750" spans="1:3" x14ac:dyDescent="0.25">
      <c r="A750"/>
      <c r="B750"/>
      <c r="C750"/>
    </row>
    <row r="751" spans="1:3" x14ac:dyDescent="0.25">
      <c r="A751"/>
      <c r="B751"/>
      <c r="C751"/>
    </row>
    <row r="752" spans="1:3" x14ac:dyDescent="0.25">
      <c r="A752"/>
      <c r="B752"/>
      <c r="C752"/>
    </row>
    <row r="753" spans="1:3" x14ac:dyDescent="0.25">
      <c r="A753"/>
      <c r="B753"/>
      <c r="C753"/>
    </row>
    <row r="754" spans="1:3" x14ac:dyDescent="0.25">
      <c r="A754"/>
      <c r="B754"/>
      <c r="C754"/>
    </row>
    <row r="755" spans="1:3" x14ac:dyDescent="0.25">
      <c r="A755"/>
      <c r="B755"/>
      <c r="C755"/>
    </row>
    <row r="756" spans="1:3" x14ac:dyDescent="0.25">
      <c r="A756"/>
      <c r="B756"/>
      <c r="C756"/>
    </row>
    <row r="757" spans="1:3" x14ac:dyDescent="0.25">
      <c r="A757"/>
      <c r="B757"/>
      <c r="C757"/>
    </row>
    <row r="758" spans="1:3" x14ac:dyDescent="0.25">
      <c r="A758"/>
      <c r="B758"/>
      <c r="C758"/>
    </row>
    <row r="759" spans="1:3" x14ac:dyDescent="0.25">
      <c r="A759"/>
      <c r="B759"/>
      <c r="C759"/>
    </row>
    <row r="760" spans="1:3" x14ac:dyDescent="0.25">
      <c r="A760"/>
      <c r="B760"/>
      <c r="C760"/>
    </row>
    <row r="761" spans="1:3" x14ac:dyDescent="0.25">
      <c r="A761"/>
      <c r="B761"/>
      <c r="C761"/>
    </row>
    <row r="762" spans="1:3" x14ac:dyDescent="0.25">
      <c r="A762"/>
      <c r="B762"/>
      <c r="C762"/>
    </row>
    <row r="763" spans="1:3" x14ac:dyDescent="0.25">
      <c r="A763"/>
      <c r="B763"/>
      <c r="C763"/>
    </row>
    <row r="764" spans="1:3" x14ac:dyDescent="0.25">
      <c r="A764"/>
      <c r="B764"/>
      <c r="C764"/>
    </row>
    <row r="765" spans="1:3" x14ac:dyDescent="0.25">
      <c r="A765"/>
      <c r="B765"/>
      <c r="C765"/>
    </row>
    <row r="766" spans="1:3" x14ac:dyDescent="0.25">
      <c r="A766"/>
      <c r="B766"/>
      <c r="C766"/>
    </row>
    <row r="767" spans="1:3" x14ac:dyDescent="0.25">
      <c r="A767"/>
      <c r="B767"/>
      <c r="C767"/>
    </row>
    <row r="768" spans="1:3" x14ac:dyDescent="0.25">
      <c r="A768"/>
      <c r="B768"/>
      <c r="C768"/>
    </row>
    <row r="769" spans="1:3" x14ac:dyDescent="0.25">
      <c r="A769"/>
      <c r="B769"/>
      <c r="C769"/>
    </row>
    <row r="770" spans="1:3" x14ac:dyDescent="0.25">
      <c r="A770"/>
      <c r="B770"/>
      <c r="C770"/>
    </row>
    <row r="771" spans="1:3" x14ac:dyDescent="0.25">
      <c r="A771"/>
      <c r="B771"/>
      <c r="C771"/>
    </row>
    <row r="772" spans="1:3" x14ac:dyDescent="0.25">
      <c r="A772"/>
      <c r="B772"/>
      <c r="C772"/>
    </row>
    <row r="773" spans="1:3" x14ac:dyDescent="0.25">
      <c r="A773"/>
      <c r="B773"/>
      <c r="C773"/>
    </row>
    <row r="774" spans="1:3" x14ac:dyDescent="0.25">
      <c r="A774"/>
      <c r="B774"/>
      <c r="C774"/>
    </row>
    <row r="775" spans="1:3" x14ac:dyDescent="0.25">
      <c r="A775"/>
      <c r="B775"/>
      <c r="C775"/>
    </row>
    <row r="776" spans="1:3" x14ac:dyDescent="0.25">
      <c r="A776"/>
      <c r="B776"/>
      <c r="C776"/>
    </row>
    <row r="777" spans="1:3" x14ac:dyDescent="0.25">
      <c r="A777"/>
      <c r="B777"/>
      <c r="C777"/>
    </row>
    <row r="778" spans="1:3" x14ac:dyDescent="0.25">
      <c r="A778"/>
      <c r="B778"/>
      <c r="C778"/>
    </row>
    <row r="779" spans="1:3" x14ac:dyDescent="0.25">
      <c r="A779"/>
      <c r="B779"/>
      <c r="C779"/>
    </row>
    <row r="780" spans="1:3" x14ac:dyDescent="0.25">
      <c r="A780"/>
      <c r="B780"/>
      <c r="C780"/>
    </row>
    <row r="781" spans="1:3" x14ac:dyDescent="0.25">
      <c r="A781"/>
      <c r="B781"/>
      <c r="C781"/>
    </row>
    <row r="782" spans="1:3" x14ac:dyDescent="0.25">
      <c r="A782"/>
      <c r="B782"/>
      <c r="C782"/>
    </row>
    <row r="783" spans="1:3" x14ac:dyDescent="0.25">
      <c r="A783"/>
      <c r="B783"/>
      <c r="C783"/>
    </row>
    <row r="784" spans="1:3" x14ac:dyDescent="0.25">
      <c r="A784"/>
      <c r="B784"/>
      <c r="C784"/>
    </row>
    <row r="785" spans="1:3" x14ac:dyDescent="0.25">
      <c r="A785"/>
      <c r="B785"/>
      <c r="C785"/>
    </row>
    <row r="786" spans="1:3" x14ac:dyDescent="0.25">
      <c r="A786"/>
      <c r="B786"/>
      <c r="C786"/>
    </row>
    <row r="787" spans="1:3" x14ac:dyDescent="0.25">
      <c r="A787"/>
      <c r="B787"/>
      <c r="C787"/>
    </row>
    <row r="788" spans="1:3" x14ac:dyDescent="0.25">
      <c r="A788"/>
      <c r="B788"/>
      <c r="C788"/>
    </row>
    <row r="789" spans="1:3" x14ac:dyDescent="0.25">
      <c r="A789"/>
      <c r="B789"/>
      <c r="C789"/>
    </row>
    <row r="790" spans="1:3" x14ac:dyDescent="0.25">
      <c r="A790"/>
      <c r="B790"/>
      <c r="C790"/>
    </row>
    <row r="791" spans="1:3" x14ac:dyDescent="0.25">
      <c r="A791"/>
      <c r="B791"/>
      <c r="C791"/>
    </row>
    <row r="792" spans="1:3" x14ac:dyDescent="0.25">
      <c r="A792"/>
      <c r="B792"/>
      <c r="C792"/>
    </row>
    <row r="793" spans="1:3" x14ac:dyDescent="0.25">
      <c r="A793"/>
      <c r="B793"/>
      <c r="C793"/>
    </row>
    <row r="794" spans="1:3" x14ac:dyDescent="0.25">
      <c r="A794"/>
      <c r="B794"/>
      <c r="C794"/>
    </row>
    <row r="795" spans="1:3" x14ac:dyDescent="0.25">
      <c r="A795"/>
      <c r="B795"/>
      <c r="C795"/>
    </row>
    <row r="796" spans="1:3" x14ac:dyDescent="0.25">
      <c r="A796"/>
      <c r="B796"/>
      <c r="C796"/>
    </row>
    <row r="797" spans="1:3" x14ac:dyDescent="0.25">
      <c r="A797"/>
      <c r="B797"/>
      <c r="C797"/>
    </row>
    <row r="798" spans="1:3" x14ac:dyDescent="0.25">
      <c r="A798"/>
      <c r="B798"/>
      <c r="C798"/>
    </row>
    <row r="799" spans="1:3" x14ac:dyDescent="0.25">
      <c r="A799"/>
      <c r="B799"/>
      <c r="C799"/>
    </row>
    <row r="800" spans="1:3" x14ac:dyDescent="0.25">
      <c r="A800"/>
      <c r="B800"/>
      <c r="C800"/>
    </row>
    <row r="801" spans="1:3" x14ac:dyDescent="0.25">
      <c r="A801"/>
      <c r="B801"/>
      <c r="C801"/>
    </row>
    <row r="802" spans="1:3" x14ac:dyDescent="0.25">
      <c r="A802"/>
      <c r="B802"/>
      <c r="C802"/>
    </row>
    <row r="803" spans="1:3" x14ac:dyDescent="0.25">
      <c r="A803"/>
      <c r="B803"/>
      <c r="C803"/>
    </row>
    <row r="804" spans="1:3" x14ac:dyDescent="0.25">
      <c r="A804"/>
      <c r="B804"/>
      <c r="C804"/>
    </row>
    <row r="805" spans="1:3" x14ac:dyDescent="0.25">
      <c r="A805"/>
      <c r="B805"/>
      <c r="C805"/>
    </row>
    <row r="806" spans="1:3" x14ac:dyDescent="0.25">
      <c r="A806"/>
      <c r="B806"/>
      <c r="C806"/>
    </row>
    <row r="807" spans="1:3" x14ac:dyDescent="0.25">
      <c r="A807"/>
      <c r="B807"/>
      <c r="C807"/>
    </row>
    <row r="808" spans="1:3" x14ac:dyDescent="0.25">
      <c r="A808"/>
      <c r="B808"/>
      <c r="C808"/>
    </row>
    <row r="809" spans="1:3" x14ac:dyDescent="0.25">
      <c r="A809"/>
      <c r="B809"/>
      <c r="C809"/>
    </row>
    <row r="810" spans="1:3" x14ac:dyDescent="0.25">
      <c r="A810"/>
      <c r="B810"/>
      <c r="C810"/>
    </row>
    <row r="811" spans="1:3" x14ac:dyDescent="0.25">
      <c r="A811"/>
      <c r="B811"/>
      <c r="C811"/>
    </row>
    <row r="812" spans="1:3" x14ac:dyDescent="0.25">
      <c r="A812"/>
      <c r="B812"/>
      <c r="C812"/>
    </row>
    <row r="813" spans="1:3" x14ac:dyDescent="0.25">
      <c r="A813"/>
      <c r="B813"/>
      <c r="C813"/>
    </row>
    <row r="814" spans="1:3" x14ac:dyDescent="0.25">
      <c r="A814"/>
      <c r="B814"/>
      <c r="C814"/>
    </row>
    <row r="815" spans="1:3" x14ac:dyDescent="0.25">
      <c r="A815"/>
      <c r="B815"/>
      <c r="C815"/>
    </row>
    <row r="816" spans="1:3" x14ac:dyDescent="0.25">
      <c r="A816"/>
      <c r="B816"/>
      <c r="C816"/>
    </row>
    <row r="817" spans="1:3" x14ac:dyDescent="0.25">
      <c r="A817"/>
      <c r="B817"/>
      <c r="C817"/>
    </row>
    <row r="818" spans="1:3" x14ac:dyDescent="0.25">
      <c r="A818"/>
      <c r="B818"/>
      <c r="C818"/>
    </row>
    <row r="819" spans="1:3" x14ac:dyDescent="0.25">
      <c r="A819"/>
      <c r="B819"/>
      <c r="C819"/>
    </row>
    <row r="820" spans="1:3" x14ac:dyDescent="0.25">
      <c r="A820"/>
      <c r="B820"/>
      <c r="C820"/>
    </row>
    <row r="821" spans="1:3" x14ac:dyDescent="0.25">
      <c r="A821"/>
      <c r="B821"/>
      <c r="C821"/>
    </row>
    <row r="822" spans="1:3" x14ac:dyDescent="0.25">
      <c r="A822"/>
      <c r="B822"/>
      <c r="C822"/>
    </row>
    <row r="823" spans="1:3" x14ac:dyDescent="0.25">
      <c r="A823"/>
      <c r="B823"/>
      <c r="C823"/>
    </row>
    <row r="824" spans="1:3" x14ac:dyDescent="0.25">
      <c r="A824"/>
      <c r="B824"/>
      <c r="C824"/>
    </row>
    <row r="825" spans="1:3" x14ac:dyDescent="0.25">
      <c r="A825"/>
      <c r="B825"/>
      <c r="C825"/>
    </row>
    <row r="826" spans="1:3" x14ac:dyDescent="0.25">
      <c r="A826"/>
      <c r="B826"/>
      <c r="C826"/>
    </row>
  </sheetData>
  <phoneticPr fontId="2" type="noConversion"/>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F7BA9-889B-459C-A127-A0F09520FDC1}">
  <dimension ref="A2:V55"/>
  <sheetViews>
    <sheetView topLeftCell="I1" workbookViewId="0">
      <selection activeCell="L8" sqref="L8"/>
    </sheetView>
  </sheetViews>
  <sheetFormatPr defaultColWidth="19.140625" defaultRowHeight="15" x14ac:dyDescent="0.25"/>
  <cols>
    <col min="1" max="1" width="20.7109375" bestFit="1" customWidth="1"/>
    <col min="3" max="3" width="13.140625" bestFit="1" customWidth="1"/>
    <col min="4" max="4" width="20.7109375" bestFit="1" customWidth="1"/>
    <col min="5" max="5" width="20.7109375" customWidth="1"/>
    <col min="6" max="6" width="13.140625" bestFit="1" customWidth="1"/>
    <col min="7" max="7" width="20.7109375" bestFit="1" customWidth="1"/>
    <col min="8" max="8" width="20.7109375" customWidth="1"/>
    <col min="9" max="9" width="13.140625" bestFit="1" customWidth="1"/>
    <col min="10" max="10" width="20.7109375" bestFit="1" customWidth="1"/>
    <col min="11" max="11" width="20.7109375" customWidth="1"/>
    <col min="12" max="12" width="13.140625" bestFit="1" customWidth="1"/>
    <col min="13" max="13" width="20.7109375" bestFit="1" customWidth="1"/>
    <col min="14" max="14" width="20.7109375" customWidth="1"/>
    <col min="15" max="15" width="13.140625" bestFit="1" customWidth="1"/>
    <col min="16" max="16" width="20.7109375" bestFit="1" customWidth="1"/>
    <col min="18" max="18" width="23.28515625" bestFit="1" customWidth="1"/>
    <col min="19" max="19" width="20.7109375" bestFit="1" customWidth="1"/>
  </cols>
  <sheetData>
    <row r="2" spans="1:22" x14ac:dyDescent="0.25">
      <c r="A2" t="s">
        <v>130</v>
      </c>
      <c r="C2" s="10" t="s">
        <v>132</v>
      </c>
      <c r="D2" t="s">
        <v>130</v>
      </c>
      <c r="F2" s="10" t="s">
        <v>132</v>
      </c>
      <c r="G2" t="s">
        <v>130</v>
      </c>
      <c r="I2" s="10" t="s">
        <v>132</v>
      </c>
      <c r="J2" t="s">
        <v>130</v>
      </c>
      <c r="L2" s="10" t="s">
        <v>132</v>
      </c>
      <c r="M2" t="s">
        <v>130</v>
      </c>
      <c r="O2" s="10" t="s">
        <v>132</v>
      </c>
      <c r="P2" t="s">
        <v>130</v>
      </c>
      <c r="R2" s="10" t="s">
        <v>132</v>
      </c>
      <c r="S2" t="s">
        <v>130</v>
      </c>
    </row>
    <row r="3" spans="1:22" x14ac:dyDescent="0.25">
      <c r="A3" s="13">
        <v>984571.05999999924</v>
      </c>
      <c r="C3" s="11" t="s">
        <v>47</v>
      </c>
      <c r="D3" s="15">
        <v>92118.789999999964</v>
      </c>
      <c r="F3" s="11">
        <v>1</v>
      </c>
      <c r="G3" s="15">
        <v>5179.59</v>
      </c>
      <c r="I3" s="11" t="s">
        <v>110</v>
      </c>
      <c r="J3" s="15">
        <v>60929.149999999994</v>
      </c>
      <c r="L3" s="11" t="s">
        <v>5</v>
      </c>
      <c r="M3" s="14">
        <v>38591.280000000006</v>
      </c>
      <c r="O3" s="11" t="s">
        <v>121</v>
      </c>
      <c r="P3" s="15">
        <v>72920.48000000001</v>
      </c>
      <c r="R3" s="11" t="s">
        <v>90</v>
      </c>
      <c r="S3" s="15">
        <v>31336.229999999992</v>
      </c>
      <c r="U3" t="str">
        <f>R3</f>
        <v>Bangladesh</v>
      </c>
      <c r="V3">
        <f>GETPIVOTDATA("Actual Column",$R$2,"Country","Bangladesh")</f>
        <v>31336.229999999992</v>
      </c>
    </row>
    <row r="4" spans="1:22" x14ac:dyDescent="0.25">
      <c r="C4" s="11" t="s">
        <v>48</v>
      </c>
      <c r="D4" s="15">
        <v>91137.049999999988</v>
      </c>
      <c r="F4" s="11">
        <v>2</v>
      </c>
      <c r="G4" s="15">
        <v>21116.729999999996</v>
      </c>
      <c r="I4" s="11" t="s">
        <v>81</v>
      </c>
      <c r="J4" s="15">
        <v>45112.94999999999</v>
      </c>
      <c r="L4" s="11" t="s">
        <v>10</v>
      </c>
      <c r="M4" s="14">
        <v>34991.64</v>
      </c>
      <c r="O4" s="11" t="s">
        <v>122</v>
      </c>
      <c r="P4" s="15">
        <v>75939.73000000001</v>
      </c>
      <c r="R4" s="11" t="s">
        <v>91</v>
      </c>
      <c r="S4" s="15">
        <v>39438.44000000001</v>
      </c>
      <c r="U4" t="str">
        <f t="shared" ref="U4:U17" si="0">R4</f>
        <v>Brazil</v>
      </c>
      <c r="V4">
        <f t="shared" ref="V4:V17" si="1">GETPIVOTDATA("Actual Column",$R$2,"Country","Bangladesh")</f>
        <v>31336.229999999992</v>
      </c>
    </row>
    <row r="5" spans="1:22" x14ac:dyDescent="0.25">
      <c r="C5" s="11" t="s">
        <v>49</v>
      </c>
      <c r="D5" s="15">
        <v>97920.72</v>
      </c>
      <c r="F5" s="11">
        <v>3</v>
      </c>
      <c r="G5" s="15">
        <v>14261.190000000004</v>
      </c>
      <c r="I5" s="11" t="s">
        <v>82</v>
      </c>
      <c r="J5" s="15">
        <v>43062.83</v>
      </c>
      <c r="L5" s="11" t="s">
        <v>19</v>
      </c>
      <c r="M5" s="14">
        <v>41580</v>
      </c>
      <c r="O5" s="11" t="s">
        <v>127</v>
      </c>
      <c r="P5" s="15">
        <v>531575.61999999988</v>
      </c>
      <c r="R5" s="11" t="s">
        <v>92</v>
      </c>
      <c r="S5" s="15">
        <v>39653.929999999993</v>
      </c>
      <c r="U5" t="str">
        <f t="shared" si="0"/>
        <v>Ethiopia</v>
      </c>
      <c r="V5">
        <f t="shared" si="1"/>
        <v>31336.229999999992</v>
      </c>
    </row>
    <row r="6" spans="1:22" x14ac:dyDescent="0.25">
      <c r="C6" s="11" t="s">
        <v>50</v>
      </c>
      <c r="D6" s="15">
        <v>72320.89</v>
      </c>
      <c r="F6" s="11">
        <v>4</v>
      </c>
      <c r="G6" s="15">
        <v>11433.2</v>
      </c>
      <c r="L6" s="11" t="s">
        <v>21</v>
      </c>
      <c r="M6" s="14">
        <v>39659.759999999995</v>
      </c>
      <c r="O6" s="11" t="s">
        <v>123</v>
      </c>
      <c r="P6" s="15">
        <v>45081.780000000006</v>
      </c>
      <c r="R6" s="11" t="s">
        <v>93</v>
      </c>
      <c r="S6" s="15">
        <v>14337.400000000003</v>
      </c>
      <c r="U6" t="str">
        <f t="shared" si="0"/>
        <v>France</v>
      </c>
      <c r="V6">
        <f t="shared" si="1"/>
        <v>31336.229999999992</v>
      </c>
    </row>
    <row r="7" spans="1:22" x14ac:dyDescent="0.25">
      <c r="C7" s="11" t="s">
        <v>51</v>
      </c>
      <c r="D7" s="15">
        <v>70511.75999999998</v>
      </c>
      <c r="F7" s="11">
        <v>5</v>
      </c>
      <c r="G7" s="15">
        <v>33727.55000000001</v>
      </c>
      <c r="L7" s="11" t="s">
        <v>22</v>
      </c>
      <c r="M7" s="14">
        <v>41055.299999999996</v>
      </c>
      <c r="O7" s="11" t="s">
        <v>124</v>
      </c>
      <c r="P7" s="15">
        <v>83994.49000000002</v>
      </c>
      <c r="R7" s="11" t="s">
        <v>94</v>
      </c>
      <c r="S7" s="15">
        <v>16810.719999999998</v>
      </c>
      <c r="U7" t="str">
        <f t="shared" si="0"/>
        <v>Germany</v>
      </c>
      <c r="V7">
        <f t="shared" si="1"/>
        <v>31336.229999999992</v>
      </c>
    </row>
    <row r="8" spans="1:22" x14ac:dyDescent="0.25">
      <c r="C8" s="11" t="s">
        <v>52</v>
      </c>
      <c r="D8" s="15">
        <v>66727.399999999994</v>
      </c>
      <c r="F8" s="11">
        <v>6</v>
      </c>
      <c r="G8" s="15">
        <v>34794.820000000007</v>
      </c>
      <c r="I8" t="str">
        <f>I3</f>
        <v>Customer33</v>
      </c>
      <c r="J8" s="13">
        <f>GETPIVOTDATA("Actual Column",$I$2,"CUSTOMER NAME",I8)</f>
        <v>60929.149999999994</v>
      </c>
      <c r="L8" s="11" t="s">
        <v>24</v>
      </c>
      <c r="M8" s="14">
        <v>49599.360000000008</v>
      </c>
      <c r="O8" s="11" t="s">
        <v>125</v>
      </c>
      <c r="P8" s="15">
        <v>53277.570000000007</v>
      </c>
      <c r="R8" s="11" t="s">
        <v>95</v>
      </c>
      <c r="S8" s="15">
        <v>452995.44000000024</v>
      </c>
      <c r="U8" t="str">
        <f t="shared" si="0"/>
        <v>India</v>
      </c>
      <c r="V8">
        <f t="shared" si="1"/>
        <v>31336.229999999992</v>
      </c>
    </row>
    <row r="9" spans="1:22" x14ac:dyDescent="0.25">
      <c r="C9" s="11" t="s">
        <v>53</v>
      </c>
      <c r="D9" s="15">
        <v>92661.550000000017</v>
      </c>
      <c r="F9" s="11">
        <v>7</v>
      </c>
      <c r="G9" s="15">
        <v>32107.100000000006</v>
      </c>
      <c r="I9" t="str">
        <f>I4</f>
        <v>Customer22</v>
      </c>
      <c r="J9" s="13">
        <f>GETPIVOTDATA("Actual Column",$I$2,"CUSTOMER NAME",I9)</f>
        <v>45112.94999999999</v>
      </c>
      <c r="L9" s="11" t="s">
        <v>30</v>
      </c>
      <c r="M9" s="14">
        <v>57968.639999999992</v>
      </c>
      <c r="O9" s="11" t="s">
        <v>126</v>
      </c>
      <c r="P9" s="15">
        <v>121781.38999999998</v>
      </c>
      <c r="R9" s="11" t="s">
        <v>96</v>
      </c>
      <c r="S9" s="15">
        <v>8394.32</v>
      </c>
      <c r="U9" t="str">
        <f t="shared" si="0"/>
        <v>Indonesia</v>
      </c>
      <c r="V9">
        <f t="shared" si="1"/>
        <v>31336.229999999992</v>
      </c>
    </row>
    <row r="10" spans="1:22" x14ac:dyDescent="0.25">
      <c r="C10" s="11" t="s">
        <v>54</v>
      </c>
      <c r="D10" s="15">
        <v>69125.749999999985</v>
      </c>
      <c r="F10" s="11">
        <v>8</v>
      </c>
      <c r="G10" s="15">
        <v>11777.67</v>
      </c>
      <c r="I10" t="str">
        <f>I5</f>
        <v>Customer23</v>
      </c>
      <c r="J10" s="13">
        <f>GETPIVOTDATA("Actual Column",$I$2,"CUSTOMER NAME",I10)</f>
        <v>43062.83</v>
      </c>
      <c r="L10" s="11" t="s">
        <v>32</v>
      </c>
      <c r="M10" s="14">
        <v>40883.039999999994</v>
      </c>
      <c r="R10" s="11" t="s">
        <v>97</v>
      </c>
      <c r="S10" s="15">
        <v>65776.760000000009</v>
      </c>
      <c r="U10" t="str">
        <f t="shared" si="0"/>
        <v>Mexico</v>
      </c>
      <c r="V10">
        <f t="shared" si="1"/>
        <v>31336.229999999992</v>
      </c>
    </row>
    <row r="11" spans="1:22" x14ac:dyDescent="0.25">
      <c r="C11" s="11" t="s">
        <v>55</v>
      </c>
      <c r="D11" s="15">
        <v>78253.529999999984</v>
      </c>
      <c r="F11" s="11">
        <v>9</v>
      </c>
      <c r="G11" s="15">
        <v>17571.589999999997</v>
      </c>
      <c r="J11" s="12"/>
      <c r="L11" s="11" t="s">
        <v>41</v>
      </c>
      <c r="M11" s="14">
        <v>57554.28</v>
      </c>
      <c r="R11" s="11" t="s">
        <v>98</v>
      </c>
      <c r="S11" s="15">
        <v>39993.270000000004</v>
      </c>
      <c r="U11" t="str">
        <f t="shared" si="0"/>
        <v>Nigeria</v>
      </c>
      <c r="V11">
        <f t="shared" si="1"/>
        <v>31336.229999999992</v>
      </c>
    </row>
    <row r="12" spans="1:22" x14ac:dyDescent="0.25">
      <c r="C12" s="11" t="s">
        <v>56</v>
      </c>
      <c r="D12" s="15">
        <v>87136.37</v>
      </c>
      <c r="F12" s="11">
        <v>10</v>
      </c>
      <c r="G12" s="15">
        <v>17413.299999999996</v>
      </c>
      <c r="L12" s="11" t="s">
        <v>42</v>
      </c>
      <c r="M12" s="14">
        <v>38232</v>
      </c>
      <c r="R12" s="11" t="s">
        <v>99</v>
      </c>
      <c r="S12" s="15">
        <v>77523.280000000028</v>
      </c>
      <c r="U12" t="str">
        <f t="shared" si="0"/>
        <v>Pakistan</v>
      </c>
      <c r="V12">
        <f t="shared" si="1"/>
        <v>31336.229999999992</v>
      </c>
    </row>
    <row r="13" spans="1:22" x14ac:dyDescent="0.25">
      <c r="C13" s="11" t="s">
        <v>57</v>
      </c>
      <c r="D13" s="15">
        <v>75659.86</v>
      </c>
      <c r="F13" s="11">
        <v>11</v>
      </c>
      <c r="G13" s="15">
        <v>18811.389999999996</v>
      </c>
      <c r="R13" s="11" t="s">
        <v>100</v>
      </c>
      <c r="S13" s="15">
        <v>63344.339999999989</v>
      </c>
      <c r="U13" t="str">
        <f t="shared" si="0"/>
        <v>Russia</v>
      </c>
      <c r="V13">
        <f t="shared" si="1"/>
        <v>31336.229999999992</v>
      </c>
    </row>
    <row r="14" spans="1:22" x14ac:dyDescent="0.25">
      <c r="C14" s="11" t="s">
        <v>58</v>
      </c>
      <c r="D14" s="15">
        <v>90997.389999999985</v>
      </c>
      <c r="F14" s="11">
        <v>12</v>
      </c>
      <c r="G14" s="15">
        <v>29446.460000000003</v>
      </c>
      <c r="R14" s="11" t="s">
        <v>101</v>
      </c>
      <c r="S14" s="15">
        <v>38317.789999999994</v>
      </c>
      <c r="U14" t="str">
        <f t="shared" si="0"/>
        <v>Saudi Arabia</v>
      </c>
      <c r="V14">
        <f t="shared" si="1"/>
        <v>31336.229999999992</v>
      </c>
    </row>
    <row r="15" spans="1:22" x14ac:dyDescent="0.25">
      <c r="F15" s="11">
        <v>13</v>
      </c>
      <c r="G15" s="15">
        <v>22723.600000000002</v>
      </c>
      <c r="R15" s="11" t="s">
        <v>102</v>
      </c>
      <c r="S15" s="15">
        <v>32808.019999999997</v>
      </c>
      <c r="U15" t="str">
        <f t="shared" si="0"/>
        <v>South Africa</v>
      </c>
      <c r="V15">
        <f t="shared" si="1"/>
        <v>31336.229999999992</v>
      </c>
    </row>
    <row r="16" spans="1:22" x14ac:dyDescent="0.25">
      <c r="F16" s="11">
        <v>14</v>
      </c>
      <c r="G16" s="15">
        <v>13729.810000000001</v>
      </c>
      <c r="R16" s="11" t="s">
        <v>103</v>
      </c>
      <c r="S16" s="15">
        <v>50749.039999999994</v>
      </c>
      <c r="U16" t="str">
        <f t="shared" si="0"/>
        <v>United Kingdom</v>
      </c>
      <c r="V16">
        <f t="shared" si="1"/>
        <v>31336.229999999992</v>
      </c>
    </row>
    <row r="17" spans="6:22" x14ac:dyDescent="0.25">
      <c r="F17" s="11">
        <v>15</v>
      </c>
      <c r="G17" s="15">
        <v>27820.09</v>
      </c>
      <c r="R17" s="11" t="s">
        <v>104</v>
      </c>
      <c r="S17" s="15">
        <v>13092.080000000002</v>
      </c>
      <c r="U17" t="str">
        <f t="shared" si="0"/>
        <v>United States of America</v>
      </c>
      <c r="V17">
        <f t="shared" si="1"/>
        <v>31336.229999999992</v>
      </c>
    </row>
    <row r="18" spans="6:22" x14ac:dyDescent="0.25">
      <c r="F18" s="11">
        <v>16</v>
      </c>
      <c r="G18" s="15">
        <v>9407.51</v>
      </c>
    </row>
    <row r="19" spans="6:22" x14ac:dyDescent="0.25">
      <c r="F19" s="11">
        <v>17</v>
      </c>
      <c r="G19" s="15">
        <v>22127.300000000003</v>
      </c>
    </row>
    <row r="20" spans="6:22" x14ac:dyDescent="0.25">
      <c r="F20" s="11">
        <v>18</v>
      </c>
      <c r="G20" s="15">
        <v>11809.4</v>
      </c>
    </row>
    <row r="21" spans="6:22" x14ac:dyDescent="0.25">
      <c r="F21" s="11">
        <v>19</v>
      </c>
      <c r="G21" s="15">
        <v>12750.539999999997</v>
      </c>
    </row>
    <row r="22" spans="6:22" x14ac:dyDescent="0.25">
      <c r="F22" s="11">
        <v>20</v>
      </c>
      <c r="G22" s="15">
        <v>19691.759999999998</v>
      </c>
    </row>
    <row r="23" spans="6:22" x14ac:dyDescent="0.25">
      <c r="F23" s="11">
        <v>21</v>
      </c>
      <c r="G23" s="15">
        <v>19171.71</v>
      </c>
    </row>
    <row r="24" spans="6:22" x14ac:dyDescent="0.25">
      <c r="F24" s="11">
        <v>22</v>
      </c>
      <c r="G24" s="15">
        <v>11617.86</v>
      </c>
    </row>
    <row r="25" spans="6:22" x14ac:dyDescent="0.25">
      <c r="F25" s="11">
        <v>23</v>
      </c>
      <c r="G25" s="15">
        <v>17000.620000000003</v>
      </c>
    </row>
    <row r="26" spans="6:22" x14ac:dyDescent="0.25">
      <c r="F26" s="11">
        <v>24</v>
      </c>
      <c r="G26" s="15">
        <v>15273.349999999999</v>
      </c>
    </row>
    <row r="27" spans="6:22" x14ac:dyDescent="0.25">
      <c r="F27" s="11">
        <v>25</v>
      </c>
      <c r="G27" s="15">
        <v>23043.470000000005</v>
      </c>
    </row>
    <row r="28" spans="6:22" x14ac:dyDescent="0.25">
      <c r="F28" s="11">
        <v>26</v>
      </c>
      <c r="G28" s="15">
        <v>13593.79</v>
      </c>
    </row>
    <row r="29" spans="6:22" x14ac:dyDescent="0.25">
      <c r="F29" s="11">
        <v>27</v>
      </c>
      <c r="G29" s="15">
        <v>13197.89</v>
      </c>
    </row>
    <row r="30" spans="6:22" x14ac:dyDescent="0.25">
      <c r="F30" s="11">
        <v>28</v>
      </c>
      <c r="G30" s="15">
        <v>13311.339999999998</v>
      </c>
    </row>
    <row r="31" spans="6:22" x14ac:dyDescent="0.25">
      <c r="F31" s="11">
        <v>29</v>
      </c>
      <c r="G31" s="15">
        <v>26662.809999999998</v>
      </c>
    </row>
    <row r="32" spans="6:22" x14ac:dyDescent="0.25">
      <c r="F32" s="11">
        <v>30</v>
      </c>
      <c r="G32" s="15">
        <v>15652.32</v>
      </c>
    </row>
    <row r="33" spans="6:7" x14ac:dyDescent="0.25">
      <c r="F33" s="11">
        <v>31</v>
      </c>
      <c r="G33" s="15">
        <v>27172.400000000001</v>
      </c>
    </row>
    <row r="34" spans="6:7" x14ac:dyDescent="0.25">
      <c r="F34" s="11">
        <v>32</v>
      </c>
      <c r="G34" s="15">
        <v>6991.1000000000013</v>
      </c>
    </row>
    <row r="35" spans="6:7" x14ac:dyDescent="0.25">
      <c r="F35" s="11">
        <v>33</v>
      </c>
      <c r="G35" s="15">
        <v>17406.18</v>
      </c>
    </row>
    <row r="36" spans="6:7" x14ac:dyDescent="0.25">
      <c r="F36" s="11">
        <v>34</v>
      </c>
      <c r="G36" s="15">
        <v>10403.35</v>
      </c>
    </row>
    <row r="37" spans="6:7" x14ac:dyDescent="0.25">
      <c r="F37" s="11">
        <v>35</v>
      </c>
      <c r="G37" s="15">
        <v>29524.29</v>
      </c>
    </row>
    <row r="38" spans="6:7" x14ac:dyDescent="0.25">
      <c r="F38" s="11">
        <v>36</v>
      </c>
      <c r="G38" s="15">
        <v>14336.82</v>
      </c>
    </row>
    <row r="39" spans="6:7" x14ac:dyDescent="0.25">
      <c r="F39" s="11">
        <v>37</v>
      </c>
      <c r="G39" s="15">
        <v>15584.3</v>
      </c>
    </row>
    <row r="40" spans="6:7" x14ac:dyDescent="0.25">
      <c r="F40" s="11">
        <v>38</v>
      </c>
      <c r="G40" s="15">
        <v>13437.32</v>
      </c>
    </row>
    <row r="41" spans="6:7" x14ac:dyDescent="0.25">
      <c r="F41" s="11">
        <v>39</v>
      </c>
      <c r="G41" s="15">
        <v>30057.11</v>
      </c>
    </row>
    <row r="42" spans="6:7" x14ac:dyDescent="0.25">
      <c r="F42" s="11">
        <v>40</v>
      </c>
      <c r="G42" s="15">
        <v>17799.129999999997</v>
      </c>
    </row>
    <row r="43" spans="6:7" x14ac:dyDescent="0.25">
      <c r="F43" s="11">
        <v>41</v>
      </c>
      <c r="G43" s="15">
        <v>25449.57</v>
      </c>
    </row>
    <row r="44" spans="6:7" x14ac:dyDescent="0.25">
      <c r="F44" s="11">
        <v>42</v>
      </c>
      <c r="G44" s="15">
        <v>14658.500000000002</v>
      </c>
    </row>
    <row r="45" spans="6:7" x14ac:dyDescent="0.25">
      <c r="F45" s="11">
        <v>43</v>
      </c>
      <c r="G45" s="15">
        <v>19795.28</v>
      </c>
    </row>
    <row r="46" spans="6:7" x14ac:dyDescent="0.25">
      <c r="F46" s="11">
        <v>44</v>
      </c>
      <c r="G46" s="15">
        <v>17458.100000000002</v>
      </c>
    </row>
    <row r="47" spans="6:7" x14ac:dyDescent="0.25">
      <c r="F47" s="11">
        <v>45</v>
      </c>
      <c r="G47" s="15">
        <v>17068.960000000003</v>
      </c>
    </row>
    <row r="48" spans="6:7" x14ac:dyDescent="0.25">
      <c r="F48" s="11">
        <v>46</v>
      </c>
      <c r="G48" s="15">
        <v>16104.110000000002</v>
      </c>
    </row>
    <row r="49" spans="6:7" x14ac:dyDescent="0.25">
      <c r="F49" s="11">
        <v>47</v>
      </c>
      <c r="G49" s="15">
        <v>16390.38</v>
      </c>
    </row>
    <row r="50" spans="6:7" x14ac:dyDescent="0.25">
      <c r="F50" s="11">
        <v>48</v>
      </c>
      <c r="G50" s="15">
        <v>25601.349999999995</v>
      </c>
    </row>
    <row r="51" spans="6:7" x14ac:dyDescent="0.25">
      <c r="F51" s="11">
        <v>49</v>
      </c>
      <c r="G51" s="15">
        <v>7322.39</v>
      </c>
    </row>
    <row r="52" spans="6:7" x14ac:dyDescent="0.25">
      <c r="F52" s="11">
        <v>50</v>
      </c>
      <c r="G52" s="15">
        <v>18755.54</v>
      </c>
    </row>
    <row r="53" spans="6:7" x14ac:dyDescent="0.25">
      <c r="F53" s="11">
        <v>51</v>
      </c>
      <c r="G53" s="15">
        <v>15496.2</v>
      </c>
    </row>
    <row r="54" spans="6:7" x14ac:dyDescent="0.25">
      <c r="F54" s="11">
        <v>52</v>
      </c>
      <c r="G54" s="15">
        <v>24337.019999999997</v>
      </c>
    </row>
    <row r="55" spans="6:7" x14ac:dyDescent="0.25">
      <c r="F55" s="11">
        <v>53</v>
      </c>
      <c r="G55" s="15">
        <v>27195.9</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CDE3D-8823-4419-A042-0B88172BD9CA}">
  <dimension ref="A1"/>
  <sheetViews>
    <sheetView showGridLines="0" tabSelected="1" zoomScale="56" zoomScaleNormal="39" workbookViewId="0">
      <selection activeCell="AE35" sqref="AE35"/>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4E69C812-0ABA-4476-AC80-1C04A66FCF87}">
  <ds:schemaRefs>
    <ds:schemaRef ds:uri="http://schemas.microsoft.com/DataMashup"/>
  </ds:schemaRefs>
</ds:datastoreItem>
</file>

<file path=customXml/itemProps2.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3.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4.xml><?xml version="1.0" encoding="utf-8"?>
<ds:datastoreItem xmlns:ds="http://schemas.openxmlformats.org/officeDocument/2006/customXml" ds:itemID="{603563F8-3C35-45E3-9C5D-CBB35342FE00}">
  <ds:schemaRefs/>
</ds:datastoreItem>
</file>

<file path=customXml/itemProps5.xml><?xml version="1.0" encoding="utf-8"?>
<ds:datastoreItem xmlns:ds="http://schemas.openxmlformats.org/officeDocument/2006/customXml" ds:itemID="{EEF80A10-7602-4BED-92DE-24325BDAD447}">
  <ds:schemaRefs/>
</ds:datastoreItem>
</file>

<file path=customXml/itemProps6.xml><?xml version="1.0" encoding="utf-8"?>
<ds:datastoreItem xmlns:ds="http://schemas.openxmlformats.org/officeDocument/2006/customXml" ds:itemID="{A32B4FDA-E599-4A7B-BE04-C10F0179D2E7}">
  <ds:schemaRefs/>
</ds:datastoreItem>
</file>

<file path=customXml/itemProps7.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8.xml><?xml version="1.0" encoding="utf-8"?>
<ds:datastoreItem xmlns:ds="http://schemas.openxmlformats.org/officeDocument/2006/customXml" ds:itemID="{1BBD2C6D-6F66-4F78-912A-BCCC90D225BC}">
  <ds:schemaRefs/>
</ds:datastoreItem>
</file>

<file path=customXml/itemProps9.xml><?xml version="1.0" encoding="utf-8"?>
<ds:datastoreItem xmlns:ds="http://schemas.openxmlformats.org/officeDocument/2006/customXml" ds:itemID="{896644BA-CCA0-4BD6-A49D-D85B6678F7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Input Data</vt:lpstr>
      <vt:lpstr>Target</vt:lpstr>
      <vt:lpstr>Customer</vt:lpstr>
      <vt:lpstr>Analysis Sheet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Maira Nawaz</dc:creator>
  <cp:lastModifiedBy>Maira Nawaz</cp:lastModifiedBy>
  <dcterms:created xsi:type="dcterms:W3CDTF">2021-11-03T11:40:02Z</dcterms:created>
  <dcterms:modified xsi:type="dcterms:W3CDTF">2025-02-10T19:02:09Z</dcterms:modified>
</cp:coreProperties>
</file>